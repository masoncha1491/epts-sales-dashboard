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销售员主数据" sheetId="2" state="visible" r:id="rId2"/>
    <sheet xmlns:r="http://schemas.openxmlformats.org/officeDocument/2006/relationships" name="分类配置" sheetId="3" state="visible" r:id="rId3"/>
    <sheet xmlns:r="http://schemas.openxmlformats.org/officeDocument/2006/relationships" name="销售明细" sheetId="4" state="visible" r:id="rId4"/>
    <sheet xmlns:r="http://schemas.openxmlformats.org/officeDocument/2006/relationships" name="按销售员汇总" sheetId="5" state="visible" r:id="rId5"/>
    <sheet xmlns:r="http://schemas.openxmlformats.org/officeDocument/2006/relationships" name="月度汇总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&quot;MYR &quot;#,##0.00"/>
    <numFmt numFmtId="166" formatCode="0.0%"/>
  </numFmts>
  <fonts count="1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2A44"/>
      <sz val="14"/>
    </font>
    <font>
      <name val="Noto Sans CJK SC"/>
      <charset val="1"/>
      <family val="2"/>
      <b val="1"/>
      <color rgb="FFFFFFFF"/>
      <sz val="11"/>
    </font>
    <font>
      <name val="Noto Sans CJK SC"/>
      <charset val="1"/>
      <family val="2"/>
      <color rgb="FF000000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Arial"/>
      <charset val="1"/>
      <family val="0"/>
      <b val="1"/>
      <color rgb="FFFFFFFF"/>
      <sz val="11"/>
    </font>
    <font>
      <name val="Noto Sans CJK SC"/>
      <family val="2"/>
      <b val="1"/>
      <color rgb="FFFFFFFF"/>
      <sz val="11"/>
    </font>
    <font>
      <name val="Noto Sans CJK SC"/>
      <charset val="1"/>
      <family val="2"/>
      <b val="1"/>
      <color rgb="FF1F2A44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F3A5F"/>
        <bgColor rgb="FF1F2A44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07B357"/>
        <bgColor rgb="FF008080"/>
      </patternFill>
    </fill>
    <fill>
      <patternFill patternType="solid">
        <fgColor rgb="FFEAF2FF"/>
        <bgColor rgb="FFEAF8F0"/>
      </patternFill>
    </fill>
    <fill>
      <patternFill patternType="solid">
        <fgColor rgb="FFEAF8F0"/>
        <bgColor rgb="FFEAF2FF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165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165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left" vertical="center"/>
    </xf>
    <xf numFmtId="3" fontId="13" fillId="7" borderId="1" applyAlignment="1" pivotButton="0" quotePrefix="0" xfId="0">
      <alignment horizontal="left" vertical="center"/>
    </xf>
    <xf numFmtId="166" fontId="7" fillId="3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center"/>
    </xf>
    <xf numFmtId="164" fontId="7" fillId="3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165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left" vertical="center"/>
    </xf>
    <xf numFmtId="165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general" vertical="bottom"/>
    </xf>
    <xf numFmtId="165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165" fontId="13" fillId="6" borderId="1" applyAlignment="1" pivotButton="0" quotePrefix="0" xfId="0">
      <alignment horizontal="left" vertical="center"/>
    </xf>
    <xf numFmtId="3" fontId="13" fillId="7" borderId="1" applyAlignment="1" pivotButton="0" quotePrefix="0" xfId="0">
      <alignment horizontal="left" vertical="center"/>
    </xf>
    <xf numFmtId="166" fontId="7" fillId="3" borderId="1" applyAlignment="1" pivotButton="0" quotePrefix="0" xfId="0">
      <alignment horizontal="left" vertical="center"/>
    </xf>
    <xf numFmtId="166" fontId="7" fillId="4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9FC"/>
      <rgbColor rgb="FFEAF8F0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07B357"/>
      <rgbColor rgb="FF003300"/>
      <rgbColor rgb="FF1F2A44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26" customWidth="1" style="33" min="1" max="1"/>
    <col width="98" customWidth="1" style="33" min="2" max="2"/>
  </cols>
  <sheetData>
    <row r="1" ht="15" customHeight="1" s="34">
      <c r="A1" s="35" t="inlineStr">
        <is>
          <t>销售 Dashboard Excel 模板 / Sales Dashboard Excel Template</t>
        </is>
      </c>
      <c r="B1" s="36" t="n"/>
    </row>
    <row r="2" ht="15" customHeight="1" s="34">
      <c r="B2" s="36" t="n"/>
    </row>
    <row r="3" ht="15" customHeight="1" s="34">
      <c r="A3" s="37" t="inlineStr">
        <is>
          <t>项目 / Item</t>
        </is>
      </c>
      <c r="B3" s="38" t="inlineStr">
        <is>
          <t>说明 / Description</t>
        </is>
      </c>
    </row>
    <row r="4" ht="15" customHeight="1" s="34">
      <c r="A4" s="39" t="inlineStr">
        <is>
          <t>用途 / Purpose</t>
        </is>
      </c>
      <c r="B4" s="40" t="inlineStr">
        <is>
          <t>这份模板用于整理销售员业绩、单数、公司/供应商、Plan Type 与生效状态数据，后续可直接导入 dashboard。 / This template is used to organize salesperson performance, case count, company/vendor, plan type and inforce status data for direct dashboard import.</t>
        </is>
      </c>
    </row>
    <row r="5" ht="15" customHeight="1" s="34">
      <c r="A5" s="41" t="inlineStr">
        <is>
          <t>填写顺序 / Workflow</t>
        </is>
      </c>
      <c r="B5" s="42" t="inlineStr">
        <is>
          <t>先填“销售员主数据”，再检查“分类配置”，最后填“销售明细”。 / Fill 'Salesperson Master Data' first, then review 'Category Setup', and finally complete 'Sales Detail'.</t>
        </is>
      </c>
    </row>
    <row r="6" ht="15" customHeight="1" s="34">
      <c r="A6" s="39" t="inlineStr">
        <is>
          <t>新增分类 / New Categories</t>
        </is>
      </c>
      <c r="B6" s="40" t="inlineStr">
        <is>
          <t>如果有新的产品线、供应商或 Plan Type，请先到“分类配置”新增，再回到“销售明细”填写。 / Add new product lines, vendors or plan types in 'Category Setup' first, then use them in 'Sales Detail'.</t>
        </is>
      </c>
    </row>
    <row r="7" ht="15" customHeight="1" s="34">
      <c r="A7" s="41" t="inlineStr">
        <is>
          <t>产品线预置 / Default Product Lines</t>
        </is>
      </c>
      <c r="B7" s="42" t="inlineStr">
        <is>
          <t>已预置：Life、Medical、General、Others、SSS。 / Preloaded: Life, Medical, General, Others, SSS.</t>
        </is>
      </c>
    </row>
    <row r="8" ht="15" customHeight="1" s="34">
      <c r="A8" s="39" t="inlineStr">
        <is>
          <t>供应商说明 / Vendor Note</t>
        </is>
      </c>
      <c r="B8" s="40" t="inlineStr">
        <is>
          <t>提交日期 / Submission Date、保单/证书号 / Policy / Cert No.、保费金额 / Premium Amount、以及生效状态 / Inforce Status 已加入。 / Submission Date, Policy / Cert No., Premium Amount and Inforce Status are included.</t>
        </is>
      </c>
    </row>
    <row r="9" ht="15" customHeight="1" s="34">
      <c r="A9" s="43" t="inlineStr">
        <is>
          <t>Plan Type 说明 / Plan Type Note</t>
        </is>
      </c>
      <c r="B9" s="44" t="inlineStr">
        <is>
          <t>Plan Type 放在产品线下面细分。 / Plan Type is a sub-category under product line.</t>
        </is>
      </c>
    </row>
    <row r="10" ht="15" customHeight="1" s="34">
      <c r="A10" s="39" t="inlineStr">
        <is>
          <t>明细必填 / Required Detail Fields</t>
        </is>
      </c>
      <c r="B10" s="40" t="inlineStr">
        <is>
          <t>至少填写：提交日期、保单/证书号、客户名称、销售员ID、产品线、公司/供应商、Plan Type、保费金额。 / At minimum fill: Submission Date, Policy / Cert No., Client Name, Salesperson ID, Product Line, Company/Vendor, Plan Type and Premium Amount.</t>
        </is>
      </c>
    </row>
    <row r="11" ht="15" customHeight="1" s="34">
      <c r="A11" s="41" t="inlineStr">
        <is>
          <t>自动带出 / Auto-filled Fields</t>
        </is>
      </c>
      <c r="B11" s="42" t="inlineStr">
        <is>
          <t>月份、销售员姓名、团队、地区会自动带出。生效状态建议填写 Submitted 或 Inforce。 / Month, salesperson name, team and region are auto-filled. Recommended inforce status values are Submitted or Inforce.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F1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22" customWidth="1" style="33" min="1" max="1"/>
    <col width="24" customWidth="1" style="33" min="2" max="2"/>
    <col width="18" customWidth="1" style="33" min="3" max="4"/>
    <col width="22" customWidth="1" style="33" min="5" max="5"/>
    <col width="18" customWidth="1" style="33" min="6" max="6"/>
  </cols>
  <sheetData>
    <row r="1" ht="15" customHeight="1" s="34">
      <c r="A1" s="37" t="inlineStr">
        <is>
          <t>销售员ID / Salesperson ID</t>
        </is>
      </c>
      <c r="B1" s="37" t="inlineStr">
        <is>
          <t>销售员姓名 / Salesperson Name</t>
        </is>
      </c>
      <c r="C1" s="37" t="inlineStr">
        <is>
          <t>团队 / Team</t>
        </is>
      </c>
      <c r="D1" s="37" t="inlineStr">
        <is>
          <t>地区 / Region</t>
        </is>
      </c>
      <c r="E1" s="37" t="inlineStr">
        <is>
          <t>状态 / Status</t>
        </is>
      </c>
      <c r="F1" s="37" t="inlineStr">
        <is>
          <t>入职日期 / Join Date</t>
        </is>
      </c>
    </row>
    <row r="2" ht="15" customHeight="1" s="34">
      <c r="A2" s="39" t="inlineStr">
        <is>
          <t>S001</t>
        </is>
      </c>
      <c r="B2" s="39" t="inlineStr">
        <is>
          <t>Jason Lim</t>
        </is>
      </c>
      <c r="C2" s="39" t="inlineStr">
        <is>
          <t>North</t>
        </is>
      </c>
      <c r="D2" s="39" t="inlineStr">
        <is>
          <t>Kuala Lumpur</t>
        </is>
      </c>
      <c r="E2" s="45" t="inlineStr">
        <is>
          <t>在职 / Active</t>
        </is>
      </c>
      <c r="F2" s="46" t="n">
        <v>45292</v>
      </c>
    </row>
    <row r="3" ht="15" customHeight="1" s="34">
      <c r="A3" s="41" t="inlineStr">
        <is>
          <t>S002</t>
        </is>
      </c>
      <c r="B3" s="41" t="inlineStr">
        <is>
          <t>Alicia Tan</t>
        </is>
      </c>
      <c r="C3" s="41" t="inlineStr">
        <is>
          <t>North</t>
        </is>
      </c>
      <c r="D3" s="41" t="inlineStr">
        <is>
          <t>Selangor</t>
        </is>
      </c>
      <c r="E3" s="47" t="inlineStr">
        <is>
          <t>在职 / Active</t>
        </is>
      </c>
      <c r="F3" s="48" t="n">
        <v>45323</v>
      </c>
    </row>
    <row r="4" ht="15" customHeight="1" s="34">
      <c r="A4" s="39" t="inlineStr">
        <is>
          <t>S003</t>
        </is>
      </c>
      <c r="B4" s="39" t="inlineStr">
        <is>
          <t>Marcus Lee</t>
        </is>
      </c>
      <c r="C4" s="39" t="inlineStr">
        <is>
          <t>Central</t>
        </is>
      </c>
      <c r="D4" s="39" t="inlineStr">
        <is>
          <t>Penang</t>
        </is>
      </c>
      <c r="E4" s="45" t="inlineStr">
        <is>
          <t>在职 / Active</t>
        </is>
      </c>
      <c r="F4" s="46" t="n">
        <v>45352</v>
      </c>
    </row>
    <row r="5" ht="15" customHeight="1" s="34">
      <c r="A5" s="41" t="inlineStr">
        <is>
          <t>S004</t>
        </is>
      </c>
      <c r="B5" s="41" t="inlineStr">
        <is>
          <t>Farah Noor</t>
        </is>
      </c>
      <c r="C5" s="41" t="inlineStr">
        <is>
          <t>Central</t>
        </is>
      </c>
      <c r="D5" s="41" t="inlineStr">
        <is>
          <t>Johor</t>
        </is>
      </c>
      <c r="E5" s="47" t="inlineStr">
        <is>
          <t>在职 / Active</t>
        </is>
      </c>
      <c r="F5" s="48" t="n">
        <v>45383</v>
      </c>
    </row>
    <row r="6" ht="15" customHeight="1" s="34">
      <c r="A6" s="39" t="inlineStr">
        <is>
          <t>S005</t>
        </is>
      </c>
      <c r="B6" s="39" t="inlineStr">
        <is>
          <t>Daniel Wong</t>
        </is>
      </c>
      <c r="C6" s="39" t="inlineStr">
        <is>
          <t>South</t>
        </is>
      </c>
      <c r="D6" s="39" t="inlineStr">
        <is>
          <t>Malacca</t>
        </is>
      </c>
      <c r="E6" s="45" t="inlineStr">
        <is>
          <t>在职 / Active</t>
        </is>
      </c>
      <c r="F6" s="46" t="n">
        <v>45413</v>
      </c>
    </row>
    <row r="7" ht="15" customHeight="1" s="34">
      <c r="A7" s="41" t="inlineStr">
        <is>
          <t>S006</t>
        </is>
      </c>
      <c r="B7" s="41" t="inlineStr">
        <is>
          <t>Nadia Ong</t>
        </is>
      </c>
      <c r="C7" s="41" t="inlineStr">
        <is>
          <t>South</t>
        </is>
      </c>
      <c r="D7" s="41" t="inlineStr">
        <is>
          <t>Sabah</t>
        </is>
      </c>
      <c r="E7" s="47" t="inlineStr">
        <is>
          <t>在职 / Active</t>
        </is>
      </c>
      <c r="F7" s="48" t="n">
        <v>45444</v>
      </c>
    </row>
    <row r="8" ht="15" customHeight="1" s="34">
      <c r="A8" s="39" t="inlineStr">
        <is>
          <t>S007</t>
        </is>
      </c>
      <c r="B8" s="39" t="inlineStr">
        <is>
          <t>Hafiz Rahman</t>
        </is>
      </c>
      <c r="C8" s="39" t="inlineStr">
        <is>
          <t>North</t>
        </is>
      </c>
      <c r="D8" s="39" t="inlineStr">
        <is>
          <t>Perak</t>
        </is>
      </c>
      <c r="E8" s="45" t="inlineStr">
        <is>
          <t>在职 / Active</t>
        </is>
      </c>
      <c r="F8" s="46" t="n">
        <v>45474</v>
      </c>
    </row>
    <row r="9" ht="15" customHeight="1" s="34">
      <c r="A9" s="41" t="inlineStr">
        <is>
          <t>S008</t>
        </is>
      </c>
      <c r="B9" s="41" t="inlineStr">
        <is>
          <t>Kelly Tan</t>
        </is>
      </c>
      <c r="C9" s="41" t="inlineStr">
        <is>
          <t>Central</t>
        </is>
      </c>
      <c r="D9" s="41" t="inlineStr">
        <is>
          <t>Negeri Sembilan</t>
        </is>
      </c>
      <c r="E9" s="47" t="inlineStr">
        <is>
          <t>在职 / Active</t>
        </is>
      </c>
      <c r="F9" s="48" t="n">
        <v>45505</v>
      </c>
    </row>
    <row r="10" ht="15" customHeight="1" s="34">
      <c r="A10" s="39" t="n"/>
      <c r="B10" s="39" t="n"/>
      <c r="C10" s="39" t="n"/>
      <c r="D10" s="39" t="n"/>
      <c r="E10" s="45" t="n"/>
      <c r="F10" s="46" t="n"/>
    </row>
    <row r="11" ht="15" customHeight="1" s="34">
      <c r="A11" s="41" t="n"/>
      <c r="B11" s="41" t="n"/>
      <c r="C11" s="41" t="n"/>
      <c r="D11" s="41" t="n"/>
      <c r="E11" s="47" t="n"/>
      <c r="F11" s="48" t="n"/>
    </row>
    <row r="12" ht="15" customHeight="1" s="34">
      <c r="A12" s="39" t="n"/>
      <c r="B12" s="39" t="n"/>
      <c r="C12" s="39" t="n"/>
      <c r="D12" s="39" t="n"/>
      <c r="E12" s="45" t="n"/>
      <c r="F12" s="46" t="n"/>
    </row>
    <row r="13" ht="15" customHeight="1" s="34">
      <c r="A13" s="41" t="n"/>
      <c r="B13" s="41" t="n"/>
      <c r="C13" s="41" t="n"/>
      <c r="D13" s="41" t="n"/>
      <c r="E13" s="47" t="n"/>
      <c r="F13" s="48" t="n"/>
    </row>
    <row r="14" ht="15" customHeight="1" s="34">
      <c r="A14" s="39" t="n"/>
      <c r="B14" s="39" t="n"/>
      <c r="C14" s="39" t="n"/>
      <c r="D14" s="39" t="n"/>
      <c r="E14" s="45" t="n"/>
      <c r="F14" s="46" t="n"/>
    </row>
    <row r="15" ht="15" customHeight="1" s="34">
      <c r="A15" s="41" t="n"/>
      <c r="B15" s="41" t="n"/>
      <c r="C15" s="41" t="n"/>
      <c r="D15" s="41" t="n"/>
      <c r="E15" s="47" t="n"/>
      <c r="F15" s="48" t="n"/>
    </row>
    <row r="16" ht="15" customHeight="1" s="34">
      <c r="A16" s="39" t="n"/>
      <c r="B16" s="39" t="n"/>
      <c r="C16" s="39" t="n"/>
      <c r="D16" s="39" t="n"/>
      <c r="E16" s="45" t="n"/>
      <c r="F16" s="46" t="n"/>
    </row>
    <row r="17" ht="15" customHeight="1" s="34">
      <c r="A17" s="41" t="n"/>
      <c r="B17" s="41" t="n"/>
      <c r="C17" s="41" t="n"/>
      <c r="D17" s="41" t="n"/>
      <c r="E17" s="47" t="n"/>
      <c r="F17" s="48" t="n"/>
    </row>
    <row r="18" ht="15" customHeight="1" s="34">
      <c r="A18" s="39" t="n"/>
      <c r="B18" s="39" t="n"/>
      <c r="C18" s="39" t="n"/>
      <c r="D18" s="39" t="n"/>
      <c r="E18" s="45" t="n"/>
      <c r="F18" s="46" t="n"/>
    </row>
    <row r="19" ht="15" customHeight="1" s="34">
      <c r="A19" s="41" t="n"/>
      <c r="B19" s="41" t="n"/>
      <c r="C19" s="41" t="n"/>
      <c r="D19" s="41" t="n"/>
      <c r="E19" s="47" t="n"/>
      <c r="F19" s="48" t="n"/>
    </row>
    <row r="20" ht="15" customHeight="1" s="34">
      <c r="A20" s="39" t="n"/>
      <c r="B20" s="39" t="n"/>
      <c r="C20" s="39" t="n"/>
      <c r="D20" s="39" t="n"/>
      <c r="E20" s="45" t="n"/>
      <c r="F20" s="46" t="n"/>
    </row>
    <row r="21" ht="15" customHeight="1" s="34">
      <c r="A21" s="41" t="n"/>
      <c r="B21" s="41" t="n"/>
      <c r="C21" s="41" t="n"/>
      <c r="D21" s="41" t="n"/>
      <c r="E21" s="47" t="n"/>
      <c r="F21" s="48" t="n"/>
    </row>
    <row r="22" ht="15" customHeight="1" s="34">
      <c r="A22" s="39" t="n"/>
      <c r="B22" s="39" t="n"/>
      <c r="C22" s="39" t="n"/>
      <c r="D22" s="39" t="n"/>
      <c r="E22" s="45" t="n"/>
      <c r="F22" s="46" t="n"/>
    </row>
    <row r="23" ht="15" customHeight="1" s="34">
      <c r="A23" s="41" t="n"/>
      <c r="B23" s="41" t="n"/>
      <c r="C23" s="41" t="n"/>
      <c r="D23" s="41" t="n"/>
      <c r="E23" s="47" t="n"/>
      <c r="F23" s="48" t="n"/>
    </row>
    <row r="24" ht="15" customHeight="1" s="34">
      <c r="A24" s="39" t="n"/>
      <c r="B24" s="39" t="n"/>
      <c r="C24" s="39" t="n"/>
      <c r="D24" s="39" t="n"/>
      <c r="E24" s="45" t="n"/>
      <c r="F24" s="46" t="n"/>
    </row>
    <row r="25" ht="15" customHeight="1" s="34">
      <c r="A25" s="41" t="n"/>
      <c r="B25" s="41" t="n"/>
      <c r="C25" s="41" t="n"/>
      <c r="D25" s="41" t="n"/>
      <c r="E25" s="47" t="n"/>
      <c r="F25" s="48" t="n"/>
    </row>
    <row r="26" ht="15" customHeight="1" s="34">
      <c r="A26" s="39" t="n"/>
      <c r="B26" s="39" t="n"/>
      <c r="C26" s="39" t="n"/>
      <c r="D26" s="39" t="n"/>
      <c r="E26" s="45" t="n"/>
      <c r="F26" s="46" t="n"/>
    </row>
    <row r="27" ht="15" customHeight="1" s="34">
      <c r="A27" s="41" t="n"/>
      <c r="B27" s="41" t="n"/>
      <c r="C27" s="41" t="n"/>
      <c r="D27" s="41" t="n"/>
      <c r="E27" s="47" t="n"/>
      <c r="F27" s="48" t="n"/>
    </row>
    <row r="28" ht="15" customHeight="1" s="34">
      <c r="A28" s="39" t="n"/>
      <c r="B28" s="39" t="n"/>
      <c r="C28" s="39" t="n"/>
      <c r="D28" s="39" t="n"/>
      <c r="E28" s="45" t="n"/>
      <c r="F28" s="46" t="n"/>
    </row>
    <row r="29" ht="15" customHeight="1" s="34">
      <c r="A29" s="41" t="n"/>
      <c r="B29" s="41" t="n"/>
      <c r="C29" s="41" t="n"/>
      <c r="D29" s="41" t="n"/>
      <c r="E29" s="47" t="n"/>
      <c r="F29" s="48" t="n"/>
    </row>
    <row r="30" ht="15" customHeight="1" s="34">
      <c r="A30" s="39" t="n"/>
      <c r="B30" s="39" t="n"/>
      <c r="C30" s="39" t="n"/>
      <c r="D30" s="39" t="n"/>
      <c r="E30" s="45" t="n"/>
      <c r="F30" s="46" t="n"/>
    </row>
    <row r="31" ht="15" customHeight="1" s="34">
      <c r="A31" s="41" t="n"/>
      <c r="B31" s="41" t="n"/>
      <c r="C31" s="41" t="n"/>
      <c r="D31" s="41" t="n"/>
      <c r="E31" s="47" t="n"/>
      <c r="F31" s="48" t="n"/>
    </row>
    <row r="32" ht="15" customHeight="1" s="34">
      <c r="A32" s="39" t="n"/>
      <c r="B32" s="39" t="n"/>
      <c r="C32" s="39" t="n"/>
      <c r="D32" s="39" t="n"/>
      <c r="E32" s="45" t="n"/>
      <c r="F32" s="46" t="n"/>
    </row>
    <row r="33" ht="15" customHeight="1" s="34">
      <c r="A33" s="41" t="n"/>
      <c r="B33" s="41" t="n"/>
      <c r="C33" s="41" t="n"/>
      <c r="D33" s="41" t="n"/>
      <c r="E33" s="47" t="n"/>
      <c r="F33" s="48" t="n"/>
    </row>
    <row r="34" ht="15" customHeight="1" s="34">
      <c r="A34" s="39" t="n"/>
      <c r="B34" s="39" t="n"/>
      <c r="C34" s="39" t="n"/>
      <c r="D34" s="39" t="n"/>
      <c r="E34" s="45" t="n"/>
      <c r="F34" s="46" t="n"/>
    </row>
    <row r="35" ht="15" customHeight="1" s="34">
      <c r="A35" s="41" t="n"/>
      <c r="B35" s="41" t="n"/>
      <c r="C35" s="41" t="n"/>
      <c r="D35" s="41" t="n"/>
      <c r="E35" s="47" t="n"/>
      <c r="F35" s="48" t="n"/>
    </row>
    <row r="36" ht="15" customHeight="1" s="34">
      <c r="A36" s="39" t="n"/>
      <c r="B36" s="39" t="n"/>
      <c r="C36" s="39" t="n"/>
      <c r="D36" s="39" t="n"/>
      <c r="E36" s="45" t="n"/>
      <c r="F36" s="46" t="n"/>
    </row>
    <row r="37" ht="15" customHeight="1" s="34">
      <c r="A37" s="41" t="n"/>
      <c r="B37" s="41" t="n"/>
      <c r="C37" s="41" t="n"/>
      <c r="D37" s="41" t="n"/>
      <c r="E37" s="47" t="n"/>
      <c r="F37" s="48" t="n"/>
    </row>
    <row r="38" ht="15" customHeight="1" s="34">
      <c r="A38" s="39" t="n"/>
      <c r="B38" s="39" t="n"/>
      <c r="C38" s="39" t="n"/>
      <c r="D38" s="39" t="n"/>
      <c r="E38" s="45" t="n"/>
      <c r="F38" s="46" t="n"/>
    </row>
    <row r="39" ht="15" customHeight="1" s="34">
      <c r="A39" s="41" t="n"/>
      <c r="B39" s="41" t="n"/>
      <c r="C39" s="41" t="n"/>
      <c r="D39" s="41" t="n"/>
      <c r="E39" s="47" t="n"/>
      <c r="F39" s="48" t="n"/>
    </row>
    <row r="40" ht="15" customHeight="1" s="34">
      <c r="A40" s="39" t="n"/>
      <c r="B40" s="39" t="n"/>
      <c r="C40" s="39" t="n"/>
      <c r="D40" s="39" t="n"/>
      <c r="E40" s="45" t="n"/>
      <c r="F40" s="46" t="n"/>
    </row>
    <row r="41" ht="15" customHeight="1" s="34">
      <c r="A41" s="41" t="n"/>
      <c r="B41" s="41" t="n"/>
      <c r="C41" s="41" t="n"/>
      <c r="D41" s="41" t="n"/>
      <c r="E41" s="47" t="n"/>
      <c r="F41" s="48" t="n"/>
    </row>
    <row r="42" ht="15" customHeight="1" s="34">
      <c r="A42" s="39" t="n"/>
      <c r="B42" s="39" t="n"/>
      <c r="C42" s="39" t="n"/>
      <c r="D42" s="39" t="n"/>
      <c r="E42" s="45" t="n"/>
      <c r="F42" s="46" t="n"/>
    </row>
    <row r="43" ht="15" customHeight="1" s="34">
      <c r="A43" s="41" t="n"/>
      <c r="B43" s="41" t="n"/>
      <c r="C43" s="41" t="n"/>
      <c r="D43" s="41" t="n"/>
      <c r="E43" s="47" t="n"/>
      <c r="F43" s="48" t="n"/>
    </row>
    <row r="44" ht="15" customHeight="1" s="34">
      <c r="A44" s="39" t="n"/>
      <c r="B44" s="39" t="n"/>
      <c r="C44" s="39" t="n"/>
      <c r="D44" s="39" t="n"/>
      <c r="E44" s="45" t="n"/>
      <c r="F44" s="46" t="n"/>
    </row>
    <row r="45" ht="15" customHeight="1" s="34">
      <c r="A45" s="41" t="n"/>
      <c r="B45" s="41" t="n"/>
      <c r="C45" s="41" t="n"/>
      <c r="D45" s="41" t="n"/>
      <c r="E45" s="47" t="n"/>
      <c r="F45" s="48" t="n"/>
    </row>
    <row r="46" ht="15" customHeight="1" s="34">
      <c r="A46" s="39" t="n"/>
      <c r="B46" s="39" t="n"/>
      <c r="C46" s="39" t="n"/>
      <c r="D46" s="39" t="n"/>
      <c r="E46" s="45" t="n"/>
      <c r="F46" s="46" t="n"/>
    </row>
    <row r="47" ht="15" customHeight="1" s="34">
      <c r="A47" s="41" t="n"/>
      <c r="B47" s="41" t="n"/>
      <c r="C47" s="41" t="n"/>
      <c r="D47" s="41" t="n"/>
      <c r="E47" s="47" t="n"/>
      <c r="F47" s="48" t="n"/>
    </row>
    <row r="48" ht="15" customHeight="1" s="34">
      <c r="A48" s="39" t="n"/>
      <c r="B48" s="39" t="n"/>
      <c r="C48" s="39" t="n"/>
      <c r="D48" s="39" t="n"/>
      <c r="E48" s="45" t="n"/>
      <c r="F48" s="46" t="n"/>
    </row>
    <row r="49" ht="15" customHeight="1" s="34">
      <c r="A49" s="41" t="n"/>
      <c r="B49" s="41" t="n"/>
      <c r="C49" s="41" t="n"/>
      <c r="D49" s="41" t="n"/>
      <c r="E49" s="47" t="n"/>
      <c r="F49" s="48" t="n"/>
    </row>
    <row r="50" ht="15" customHeight="1" s="34">
      <c r="A50" s="39" t="n"/>
      <c r="B50" s="39" t="n"/>
      <c r="C50" s="39" t="n"/>
      <c r="D50" s="39" t="n"/>
      <c r="E50" s="45" t="n"/>
      <c r="F50" s="46" t="n"/>
    </row>
    <row r="51" ht="15" customHeight="1" s="34">
      <c r="A51" s="41" t="n"/>
      <c r="B51" s="41" t="n"/>
      <c r="C51" s="41" t="n"/>
      <c r="D51" s="41" t="n"/>
      <c r="E51" s="47" t="n"/>
      <c r="F51" s="48" t="n"/>
    </row>
    <row r="52" ht="15" customHeight="1" s="34">
      <c r="A52" s="39" t="n"/>
      <c r="B52" s="39" t="n"/>
      <c r="C52" s="39" t="n"/>
      <c r="D52" s="39" t="n"/>
      <c r="E52" s="45" t="n"/>
      <c r="F52" s="46" t="n"/>
    </row>
    <row r="53" ht="15" customHeight="1" s="34">
      <c r="A53" s="41" t="n"/>
      <c r="B53" s="41" t="n"/>
      <c r="C53" s="41" t="n"/>
      <c r="D53" s="41" t="n"/>
      <c r="E53" s="47" t="n"/>
      <c r="F53" s="48" t="n"/>
    </row>
    <row r="54" ht="15" customHeight="1" s="34">
      <c r="A54" s="39" t="n"/>
      <c r="B54" s="39" t="n"/>
      <c r="C54" s="39" t="n"/>
      <c r="D54" s="39" t="n"/>
      <c r="E54" s="45" t="n"/>
      <c r="F54" s="46" t="n"/>
    </row>
    <row r="55" ht="15" customHeight="1" s="34">
      <c r="A55" s="41" t="n"/>
      <c r="B55" s="41" t="n"/>
      <c r="C55" s="41" t="n"/>
      <c r="D55" s="41" t="n"/>
      <c r="E55" s="47" t="n"/>
      <c r="F55" s="48" t="n"/>
    </row>
    <row r="56" ht="15" customHeight="1" s="34">
      <c r="A56" s="39" t="n"/>
      <c r="B56" s="39" t="n"/>
      <c r="C56" s="39" t="n"/>
      <c r="D56" s="39" t="n"/>
      <c r="E56" s="45" t="n"/>
      <c r="F56" s="46" t="n"/>
    </row>
    <row r="57" ht="15" customHeight="1" s="34">
      <c r="A57" s="41" t="n"/>
      <c r="B57" s="41" t="n"/>
      <c r="C57" s="41" t="n"/>
      <c r="D57" s="41" t="n"/>
      <c r="E57" s="47" t="n"/>
      <c r="F57" s="48" t="n"/>
    </row>
    <row r="58" ht="15" customHeight="1" s="34">
      <c r="A58" s="39" t="n"/>
      <c r="B58" s="39" t="n"/>
      <c r="C58" s="39" t="n"/>
      <c r="D58" s="39" t="n"/>
      <c r="E58" s="45" t="n"/>
      <c r="F58" s="46" t="n"/>
    </row>
    <row r="59" ht="15" customHeight="1" s="34">
      <c r="A59" s="41" t="n"/>
      <c r="B59" s="41" t="n"/>
      <c r="C59" s="41" t="n"/>
      <c r="D59" s="41" t="n"/>
      <c r="E59" s="47" t="n"/>
      <c r="F59" s="48" t="n"/>
    </row>
    <row r="60" ht="15" customHeight="1" s="34">
      <c r="A60" s="39" t="n"/>
      <c r="B60" s="39" t="n"/>
      <c r="C60" s="39" t="n"/>
      <c r="D60" s="39" t="n"/>
      <c r="E60" s="45" t="n"/>
      <c r="F60" s="46" t="n"/>
    </row>
    <row r="61" ht="15" customHeight="1" s="34">
      <c r="A61" s="41" t="n"/>
      <c r="B61" s="41" t="n"/>
      <c r="C61" s="41" t="n"/>
      <c r="D61" s="41" t="n"/>
      <c r="E61" s="47" t="n"/>
      <c r="F61" s="48" t="n"/>
    </row>
    <row r="62" ht="15" customHeight="1" s="34">
      <c r="A62" s="39" t="n"/>
      <c r="B62" s="39" t="n"/>
      <c r="C62" s="39" t="n"/>
      <c r="D62" s="39" t="n"/>
      <c r="E62" s="45" t="n"/>
      <c r="F62" s="46" t="n"/>
    </row>
    <row r="63" ht="15" customHeight="1" s="34">
      <c r="A63" s="41" t="n"/>
      <c r="B63" s="41" t="n"/>
      <c r="C63" s="41" t="n"/>
      <c r="D63" s="41" t="n"/>
      <c r="E63" s="47" t="n"/>
      <c r="F63" s="48" t="n"/>
    </row>
    <row r="64" ht="15" customHeight="1" s="34">
      <c r="A64" s="39" t="n"/>
      <c r="B64" s="39" t="n"/>
      <c r="C64" s="39" t="n"/>
      <c r="D64" s="39" t="n"/>
      <c r="E64" s="45" t="n"/>
      <c r="F64" s="46" t="n"/>
    </row>
    <row r="65" ht="15" customHeight="1" s="34">
      <c r="A65" s="41" t="n"/>
      <c r="B65" s="41" t="n"/>
      <c r="C65" s="41" t="n"/>
      <c r="D65" s="41" t="n"/>
      <c r="E65" s="47" t="n"/>
      <c r="F65" s="48" t="n"/>
    </row>
    <row r="66" ht="15" customHeight="1" s="34">
      <c r="A66" s="39" t="n"/>
      <c r="B66" s="39" t="n"/>
      <c r="C66" s="39" t="n"/>
      <c r="D66" s="39" t="n"/>
      <c r="E66" s="45" t="n"/>
      <c r="F66" s="46" t="n"/>
    </row>
    <row r="67" ht="15" customHeight="1" s="34">
      <c r="A67" s="41" t="n"/>
      <c r="B67" s="41" t="n"/>
      <c r="C67" s="41" t="n"/>
      <c r="D67" s="41" t="n"/>
      <c r="E67" s="47" t="n"/>
      <c r="F67" s="48" t="n"/>
    </row>
    <row r="68" ht="15" customHeight="1" s="34">
      <c r="A68" s="39" t="n"/>
      <c r="B68" s="39" t="n"/>
      <c r="C68" s="39" t="n"/>
      <c r="D68" s="39" t="n"/>
      <c r="E68" s="45" t="n"/>
      <c r="F68" s="46" t="n"/>
    </row>
    <row r="69" ht="15" customHeight="1" s="34">
      <c r="A69" s="41" t="n"/>
      <c r="B69" s="41" t="n"/>
      <c r="C69" s="41" t="n"/>
      <c r="D69" s="41" t="n"/>
      <c r="E69" s="47" t="n"/>
      <c r="F69" s="48" t="n"/>
    </row>
    <row r="70" ht="15" customHeight="1" s="34">
      <c r="A70" s="39" t="n"/>
      <c r="B70" s="39" t="n"/>
      <c r="C70" s="39" t="n"/>
      <c r="D70" s="39" t="n"/>
      <c r="E70" s="45" t="n"/>
      <c r="F70" s="46" t="n"/>
    </row>
    <row r="71" ht="15" customHeight="1" s="34">
      <c r="A71" s="41" t="n"/>
      <c r="B71" s="41" t="n"/>
      <c r="C71" s="41" t="n"/>
      <c r="D71" s="41" t="n"/>
      <c r="E71" s="47" t="n"/>
      <c r="F71" s="48" t="n"/>
    </row>
    <row r="72" ht="15" customHeight="1" s="34">
      <c r="A72" s="39" t="n"/>
      <c r="B72" s="39" t="n"/>
      <c r="C72" s="39" t="n"/>
      <c r="D72" s="39" t="n"/>
      <c r="E72" s="45" t="n"/>
      <c r="F72" s="46" t="n"/>
    </row>
    <row r="73" ht="15" customHeight="1" s="34">
      <c r="A73" s="41" t="n"/>
      <c r="B73" s="41" t="n"/>
      <c r="C73" s="41" t="n"/>
      <c r="D73" s="41" t="n"/>
      <c r="E73" s="47" t="n"/>
      <c r="F73" s="48" t="n"/>
    </row>
    <row r="74" ht="15" customHeight="1" s="34">
      <c r="A74" s="39" t="n"/>
      <c r="B74" s="39" t="n"/>
      <c r="C74" s="39" t="n"/>
      <c r="D74" s="39" t="n"/>
      <c r="E74" s="45" t="n"/>
      <c r="F74" s="46" t="n"/>
    </row>
    <row r="75" ht="15" customHeight="1" s="34">
      <c r="A75" s="41" t="n"/>
      <c r="B75" s="41" t="n"/>
      <c r="C75" s="41" t="n"/>
      <c r="D75" s="41" t="n"/>
      <c r="E75" s="47" t="n"/>
      <c r="F75" s="48" t="n"/>
    </row>
    <row r="76" ht="15" customHeight="1" s="34">
      <c r="A76" s="39" t="n"/>
      <c r="B76" s="39" t="n"/>
      <c r="C76" s="39" t="n"/>
      <c r="D76" s="39" t="n"/>
      <c r="E76" s="45" t="n"/>
      <c r="F76" s="46" t="n"/>
    </row>
    <row r="77" ht="15" customHeight="1" s="34">
      <c r="A77" s="41" t="n"/>
      <c r="B77" s="41" t="n"/>
      <c r="C77" s="41" t="n"/>
      <c r="D77" s="41" t="n"/>
      <c r="E77" s="47" t="n"/>
      <c r="F77" s="48" t="n"/>
    </row>
    <row r="78" ht="15" customHeight="1" s="34">
      <c r="A78" s="39" t="n"/>
      <c r="B78" s="39" t="n"/>
      <c r="C78" s="39" t="n"/>
      <c r="D78" s="39" t="n"/>
      <c r="E78" s="45" t="n"/>
      <c r="F78" s="46" t="n"/>
    </row>
    <row r="79" ht="15" customHeight="1" s="34">
      <c r="A79" s="41" t="n"/>
      <c r="B79" s="41" t="n"/>
      <c r="C79" s="41" t="n"/>
      <c r="D79" s="41" t="n"/>
      <c r="E79" s="47" t="n"/>
      <c r="F79" s="48" t="n"/>
    </row>
    <row r="80" ht="15" customHeight="1" s="34">
      <c r="A80" s="39" t="n"/>
      <c r="B80" s="39" t="n"/>
      <c r="C80" s="39" t="n"/>
      <c r="D80" s="39" t="n"/>
      <c r="E80" s="45" t="n"/>
      <c r="F80" s="46" t="n"/>
    </row>
    <row r="81" ht="15" customHeight="1" s="34">
      <c r="A81" s="41" t="n"/>
      <c r="B81" s="41" t="n"/>
      <c r="C81" s="41" t="n"/>
      <c r="D81" s="41" t="n"/>
      <c r="E81" s="47" t="n"/>
      <c r="F81" s="48" t="n"/>
    </row>
    <row r="82" ht="15" customHeight="1" s="34">
      <c r="A82" s="39" t="n"/>
      <c r="B82" s="39" t="n"/>
      <c r="C82" s="39" t="n"/>
      <c r="D82" s="39" t="n"/>
      <c r="E82" s="45" t="n"/>
      <c r="F82" s="46" t="n"/>
    </row>
    <row r="83" ht="15" customHeight="1" s="34">
      <c r="A83" s="41" t="n"/>
      <c r="B83" s="41" t="n"/>
      <c r="C83" s="41" t="n"/>
      <c r="D83" s="41" t="n"/>
      <c r="E83" s="47" t="n"/>
      <c r="F83" s="48" t="n"/>
    </row>
    <row r="84" ht="15" customHeight="1" s="34">
      <c r="A84" s="39" t="n"/>
      <c r="B84" s="39" t="n"/>
      <c r="C84" s="39" t="n"/>
      <c r="D84" s="39" t="n"/>
      <c r="E84" s="45" t="n"/>
      <c r="F84" s="46" t="n"/>
    </row>
    <row r="85" ht="15" customHeight="1" s="34">
      <c r="A85" s="41" t="n"/>
      <c r="B85" s="41" t="n"/>
      <c r="C85" s="41" t="n"/>
      <c r="D85" s="41" t="n"/>
      <c r="E85" s="47" t="n"/>
      <c r="F85" s="48" t="n"/>
    </row>
    <row r="86" ht="15" customHeight="1" s="34">
      <c r="A86" s="39" t="n"/>
      <c r="B86" s="39" t="n"/>
      <c r="C86" s="39" t="n"/>
      <c r="D86" s="39" t="n"/>
      <c r="E86" s="45" t="n"/>
      <c r="F86" s="46" t="n"/>
    </row>
    <row r="87" ht="15" customHeight="1" s="34">
      <c r="A87" s="41" t="n"/>
      <c r="B87" s="41" t="n"/>
      <c r="C87" s="41" t="n"/>
      <c r="D87" s="41" t="n"/>
      <c r="E87" s="47" t="n"/>
      <c r="F87" s="48" t="n"/>
    </row>
    <row r="88" ht="15" customHeight="1" s="34">
      <c r="A88" s="39" t="n"/>
      <c r="B88" s="39" t="n"/>
      <c r="C88" s="39" t="n"/>
      <c r="D88" s="39" t="n"/>
      <c r="E88" s="45" t="n"/>
      <c r="F88" s="46" t="n"/>
    </row>
    <row r="89" ht="15" customHeight="1" s="34">
      <c r="A89" s="41" t="n"/>
      <c r="B89" s="41" t="n"/>
      <c r="C89" s="41" t="n"/>
      <c r="D89" s="41" t="n"/>
      <c r="E89" s="47" t="n"/>
      <c r="F89" s="48" t="n"/>
    </row>
    <row r="90" ht="15" customHeight="1" s="34">
      <c r="A90" s="39" t="n"/>
      <c r="B90" s="39" t="n"/>
      <c r="C90" s="39" t="n"/>
      <c r="D90" s="39" t="n"/>
      <c r="E90" s="45" t="n"/>
      <c r="F90" s="46" t="n"/>
    </row>
    <row r="91" ht="15" customHeight="1" s="34">
      <c r="A91" s="41" t="n"/>
      <c r="B91" s="41" t="n"/>
      <c r="C91" s="41" t="n"/>
      <c r="D91" s="41" t="n"/>
      <c r="E91" s="47" t="n"/>
      <c r="F91" s="48" t="n"/>
    </row>
    <row r="92" ht="15" customHeight="1" s="34">
      <c r="A92" s="39" t="n"/>
      <c r="B92" s="39" t="n"/>
      <c r="C92" s="39" t="n"/>
      <c r="D92" s="39" t="n"/>
      <c r="E92" s="45" t="n"/>
      <c r="F92" s="46" t="n"/>
    </row>
    <row r="93" ht="15" customHeight="1" s="34">
      <c r="A93" s="41" t="n"/>
      <c r="B93" s="41" t="n"/>
      <c r="C93" s="41" t="n"/>
      <c r="D93" s="41" t="n"/>
      <c r="E93" s="47" t="n"/>
      <c r="F93" s="48" t="n"/>
    </row>
    <row r="94" ht="15" customHeight="1" s="34">
      <c r="A94" s="39" t="n"/>
      <c r="B94" s="39" t="n"/>
      <c r="C94" s="39" t="n"/>
      <c r="D94" s="39" t="n"/>
      <c r="E94" s="45" t="n"/>
      <c r="F94" s="46" t="n"/>
    </row>
    <row r="95" ht="15" customHeight="1" s="34">
      <c r="A95" s="41" t="n"/>
      <c r="B95" s="41" t="n"/>
      <c r="C95" s="41" t="n"/>
      <c r="D95" s="41" t="n"/>
      <c r="E95" s="47" t="n"/>
      <c r="F95" s="48" t="n"/>
    </row>
    <row r="96" ht="15" customHeight="1" s="34">
      <c r="A96" s="39" t="n"/>
      <c r="B96" s="39" t="n"/>
      <c r="C96" s="39" t="n"/>
      <c r="D96" s="39" t="n"/>
      <c r="E96" s="45" t="n"/>
      <c r="F96" s="46" t="n"/>
    </row>
    <row r="97" ht="15" customHeight="1" s="34">
      <c r="A97" s="41" t="n"/>
      <c r="B97" s="41" t="n"/>
      <c r="C97" s="41" t="n"/>
      <c r="D97" s="41" t="n"/>
      <c r="E97" s="47" t="n"/>
      <c r="F97" s="48" t="n"/>
    </row>
    <row r="98" ht="15" customHeight="1" s="34">
      <c r="A98" s="39" t="n"/>
      <c r="B98" s="39" t="n"/>
      <c r="C98" s="39" t="n"/>
      <c r="D98" s="39" t="n"/>
      <c r="E98" s="45" t="n"/>
      <c r="F98" s="46" t="n"/>
    </row>
    <row r="99" ht="15" customHeight="1" s="34">
      <c r="A99" s="41" t="n"/>
      <c r="B99" s="41" t="n"/>
      <c r="C99" s="41" t="n"/>
      <c r="D99" s="41" t="n"/>
      <c r="E99" s="47" t="n"/>
      <c r="F99" s="48" t="n"/>
    </row>
    <row r="100" ht="15" customHeight="1" s="34">
      <c r="A100" s="39" t="n"/>
      <c r="B100" s="39" t="n"/>
      <c r="C100" s="39" t="n"/>
      <c r="D100" s="39" t="n"/>
      <c r="E100" s="45" t="n"/>
      <c r="F100" s="46" t="n"/>
    </row>
    <row r="101" ht="15" customHeight="1" s="34">
      <c r="A101" s="41" t="n"/>
      <c r="B101" s="41" t="n"/>
      <c r="C101" s="41" t="n"/>
      <c r="D101" s="41" t="n"/>
      <c r="E101" s="47" t="n"/>
      <c r="F101" s="48" t="n"/>
    </row>
  </sheetData>
  <dataValidations count="1">
    <dataValidation sqref="E2:E101" showDropDown="0" showInputMessage="0" showErrorMessage="0" allowBlank="1" type="list" errorStyle="stop" operator="between">
      <formula1>"在职 / Active,离职 / Resigned,停用 / Inactive"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K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22" customWidth="1" style="33" min="1" max="1"/>
    <col width="16" customWidth="1" style="33" min="2" max="2"/>
    <col width="18" customWidth="1" style="33" min="3" max="3"/>
    <col width="12" customWidth="1" style="33" min="4" max="4"/>
    <col width="28" customWidth="1" style="33" min="5" max="5"/>
    <col width="16" customWidth="1" style="33" min="6" max="6"/>
    <col width="18" customWidth="1" style="33" min="7" max="7"/>
    <col width="12" customWidth="1" style="33" min="8" max="8"/>
    <col width="22" customWidth="1" style="33" min="9" max="9"/>
    <col width="24" customWidth="1" style="33" min="10" max="10"/>
    <col width="18" customWidth="1" style="33" min="11" max="11"/>
  </cols>
  <sheetData>
    <row r="1" ht="15" customHeight="1" s="34">
      <c r="A1" s="37" t="inlineStr">
        <is>
          <t>产品线 / Product Line</t>
        </is>
      </c>
      <c r="B1" s="37" t="inlineStr">
        <is>
          <t>是否启用 / Active</t>
        </is>
      </c>
      <c r="C1" s="37" t="inlineStr">
        <is>
          <t>备注 / Notes</t>
        </is>
      </c>
      <c r="E1" s="37" t="inlineStr">
        <is>
          <t>公司/供应商 / Company/Vendor</t>
        </is>
      </c>
      <c r="F1" s="37" t="inlineStr">
        <is>
          <t>是否启用 / Active</t>
        </is>
      </c>
      <c r="G1" s="37" t="inlineStr">
        <is>
          <t>备注 / Notes</t>
        </is>
      </c>
      <c r="I1" s="37" t="inlineStr">
        <is>
          <t>产品线 / Product Line</t>
        </is>
      </c>
      <c r="J1" s="49" t="inlineStr">
        <is>
          <t>Plan Type / 计划类型</t>
        </is>
      </c>
      <c r="K1" s="37" t="inlineStr">
        <is>
          <t>备注 / Notes</t>
        </is>
      </c>
    </row>
    <row r="2" ht="15" customHeight="1" s="34">
      <c r="A2" s="50" t="inlineStr">
        <is>
          <t>Life</t>
        </is>
      </c>
      <c r="B2" s="50" t="inlineStr">
        <is>
          <t>Y</t>
        </is>
      </c>
      <c r="C2" s="39" t="inlineStr">
        <is>
          <t>默认 / Default</t>
        </is>
      </c>
      <c r="E2" s="50" t="inlineStr">
        <is>
          <t>EPTS Life</t>
        </is>
      </c>
      <c r="F2" s="50" t="inlineStr">
        <is>
          <t>Y</t>
        </is>
      </c>
      <c r="G2" s="39" t="inlineStr">
        <is>
          <t>示例 / Sample</t>
        </is>
      </c>
      <c r="I2" s="50" t="inlineStr">
        <is>
          <t>Life</t>
        </is>
      </c>
      <c r="J2" s="50" t="inlineStr">
        <is>
          <t>Life Secure</t>
        </is>
      </c>
      <c r="K2" s="39" t="inlineStr">
        <is>
          <t>示例 / Sample</t>
        </is>
      </c>
    </row>
    <row r="3" ht="15" customHeight="1" s="34">
      <c r="A3" s="43" t="inlineStr">
        <is>
          <t>Medical</t>
        </is>
      </c>
      <c r="B3" s="43" t="inlineStr">
        <is>
          <t>Y</t>
        </is>
      </c>
      <c r="C3" s="41" t="inlineStr">
        <is>
          <t>默认 / Default</t>
        </is>
      </c>
      <c r="E3" s="43" t="inlineStr">
        <is>
          <t>MediPlus</t>
        </is>
      </c>
      <c r="F3" s="43" t="inlineStr">
        <is>
          <t>Y</t>
        </is>
      </c>
      <c r="G3" s="41" t="inlineStr">
        <is>
          <t>示例 / Sample</t>
        </is>
      </c>
      <c r="I3" s="43" t="inlineStr">
        <is>
          <t>Life</t>
        </is>
      </c>
      <c r="J3" s="43" t="inlineStr">
        <is>
          <t>Family Life</t>
        </is>
      </c>
      <c r="K3" s="41" t="inlineStr">
        <is>
          <t>示例 / Sample</t>
        </is>
      </c>
    </row>
    <row r="4" ht="15" customHeight="1" s="34">
      <c r="A4" s="50" t="inlineStr">
        <is>
          <t>General</t>
        </is>
      </c>
      <c r="B4" s="50" t="inlineStr">
        <is>
          <t>Y</t>
        </is>
      </c>
      <c r="C4" s="39" t="inlineStr">
        <is>
          <t>默认 / Default</t>
        </is>
      </c>
      <c r="E4" s="50" t="inlineStr">
        <is>
          <t>Alpha Cover</t>
        </is>
      </c>
      <c r="F4" s="50" t="inlineStr">
        <is>
          <t>Y</t>
        </is>
      </c>
      <c r="G4" s="39" t="inlineStr">
        <is>
          <t>示例 / Sample</t>
        </is>
      </c>
      <c r="I4" s="50" t="inlineStr">
        <is>
          <t>Medical</t>
        </is>
      </c>
      <c r="J4" s="50" t="inlineStr">
        <is>
          <t>Medical Prime</t>
        </is>
      </c>
      <c r="K4" s="39" t="inlineStr">
        <is>
          <t>示例 / Sample</t>
        </is>
      </c>
    </row>
    <row r="5" ht="15" customHeight="1" s="34">
      <c r="A5" s="43" t="inlineStr">
        <is>
          <t>Others</t>
        </is>
      </c>
      <c r="B5" s="43" t="inlineStr">
        <is>
          <t>Y</t>
        </is>
      </c>
      <c r="C5" s="41" t="inlineStr">
        <is>
          <t>新增 / New</t>
        </is>
      </c>
      <c r="E5" s="43" t="inlineStr">
        <is>
          <t>Melaka Partners</t>
        </is>
      </c>
      <c r="F5" s="43" t="inlineStr">
        <is>
          <t>Y</t>
        </is>
      </c>
      <c r="G5" s="41" t="inlineStr">
        <is>
          <t>示例 / Sample</t>
        </is>
      </c>
      <c r="I5" s="43" t="inlineStr">
        <is>
          <t>General</t>
        </is>
      </c>
      <c r="J5" s="43" t="inlineStr">
        <is>
          <t>General Plus</t>
        </is>
      </c>
      <c r="K5" s="41" t="inlineStr">
        <is>
          <t>示例 / Sample</t>
        </is>
      </c>
    </row>
    <row r="6" ht="15" customHeight="1" s="34">
      <c r="A6" s="50" t="inlineStr">
        <is>
          <t>SSS</t>
        </is>
      </c>
      <c r="B6" s="50" t="inlineStr">
        <is>
          <t>Y</t>
        </is>
      </c>
      <c r="C6" s="39" t="inlineStr">
        <is>
          <t>新增 / New</t>
        </is>
      </c>
      <c r="E6" s="50" t="inlineStr">
        <is>
          <t>SSS Direct</t>
        </is>
      </c>
      <c r="F6" s="50" t="inlineStr">
        <is>
          <t>Y</t>
        </is>
      </c>
      <c r="G6" s="39" t="inlineStr">
        <is>
          <t>示例 / Sample</t>
        </is>
      </c>
      <c r="I6" s="50" t="inlineStr">
        <is>
          <t>Others</t>
        </is>
      </c>
      <c r="J6" s="50" t="inlineStr">
        <is>
          <t>Flex Shield</t>
        </is>
      </c>
      <c r="K6" s="39" t="inlineStr">
        <is>
          <t>示例 / Sample</t>
        </is>
      </c>
    </row>
    <row r="7" ht="15" customHeight="1" s="34">
      <c r="A7" s="41" t="n"/>
      <c r="B7" s="41" t="n"/>
      <c r="C7" s="41" t="n"/>
      <c r="E7" s="43" t="inlineStr">
        <is>
          <t>Others Source</t>
        </is>
      </c>
      <c r="F7" s="43" t="inlineStr">
        <is>
          <t>Y</t>
        </is>
      </c>
      <c r="G7" s="41" t="inlineStr">
        <is>
          <t>示例 / Sample</t>
        </is>
      </c>
      <c r="I7" s="43" t="inlineStr">
        <is>
          <t>Others</t>
        </is>
      </c>
      <c r="J7" s="43" t="inlineStr">
        <is>
          <t>Special Combo</t>
        </is>
      </c>
      <c r="K7" s="41" t="inlineStr">
        <is>
          <t>示例 / Sample</t>
        </is>
      </c>
    </row>
    <row r="8" ht="15" customHeight="1" s="34">
      <c r="A8" s="50" t="n"/>
      <c r="B8" s="50" t="n"/>
      <c r="C8" s="39" t="n"/>
      <c r="E8" s="50" t="inlineStr">
        <is>
          <t>EPTS Specialty</t>
        </is>
      </c>
      <c r="F8" s="50" t="inlineStr">
        <is>
          <t>Y</t>
        </is>
      </c>
      <c r="G8" s="39" t="inlineStr">
        <is>
          <t>示例 / Sample</t>
        </is>
      </c>
      <c r="I8" s="50" t="inlineStr">
        <is>
          <t>SSS</t>
        </is>
      </c>
      <c r="J8" s="50" t="inlineStr">
        <is>
          <t>SSS Starter</t>
        </is>
      </c>
      <c r="K8" s="39" t="inlineStr">
        <is>
          <t>示例 / Sample</t>
        </is>
      </c>
    </row>
    <row r="9" ht="15" customHeight="1" s="34">
      <c r="A9" s="41" t="n"/>
      <c r="B9" s="41" t="n"/>
      <c r="C9" s="41" t="n"/>
      <c r="E9" s="41" t="n"/>
      <c r="F9" s="41" t="n"/>
      <c r="G9" s="41" t="n"/>
      <c r="I9" s="43" t="inlineStr">
        <is>
          <t>SSS</t>
        </is>
      </c>
      <c r="J9" s="43" t="inlineStr">
        <is>
          <t>SSS Premier</t>
        </is>
      </c>
      <c r="K9" s="41" t="inlineStr">
        <is>
          <t>示例 / Sample</t>
        </is>
      </c>
    </row>
    <row r="10" ht="15" customHeight="1" s="34">
      <c r="A10" s="39" t="n"/>
      <c r="B10" s="39" t="n"/>
      <c r="C10" s="39" t="n"/>
      <c r="E10" s="39" t="n"/>
      <c r="F10" s="39" t="n"/>
      <c r="G10" s="39" t="n"/>
      <c r="I10" s="39" t="n"/>
      <c r="J10" s="39" t="n"/>
      <c r="K10" s="39" t="n"/>
    </row>
    <row r="11" ht="15" customHeight="1" s="34">
      <c r="A11" s="41" t="n"/>
      <c r="B11" s="41" t="n"/>
      <c r="C11" s="41" t="n"/>
      <c r="E11" s="41" t="n"/>
      <c r="F11" s="41" t="n"/>
      <c r="G11" s="41" t="n"/>
      <c r="I11" s="41" t="n"/>
      <c r="J11" s="41" t="n"/>
      <c r="K11" s="41" t="n"/>
    </row>
    <row r="12" ht="15" customHeight="1" s="34">
      <c r="A12" s="39" t="n"/>
      <c r="B12" s="39" t="n"/>
      <c r="C12" s="39" t="n"/>
      <c r="E12" s="39" t="n"/>
      <c r="F12" s="39" t="n"/>
      <c r="G12" s="39" t="n"/>
      <c r="I12" s="39" t="n"/>
      <c r="J12" s="39" t="n"/>
      <c r="K12" s="39" t="n"/>
    </row>
    <row r="13" ht="15" customHeight="1" s="34">
      <c r="A13" s="41" t="n"/>
      <c r="B13" s="41" t="n"/>
      <c r="C13" s="41" t="n"/>
      <c r="E13" s="41" t="n"/>
      <c r="F13" s="41" t="n"/>
      <c r="G13" s="41" t="n"/>
      <c r="I13" s="41" t="n"/>
      <c r="J13" s="41" t="n"/>
      <c r="K13" s="41" t="n"/>
    </row>
    <row r="14" ht="15" customHeight="1" s="34">
      <c r="A14" s="39" t="n"/>
      <c r="B14" s="39" t="n"/>
      <c r="C14" s="39" t="n"/>
      <c r="E14" s="39" t="n"/>
      <c r="F14" s="39" t="n"/>
      <c r="G14" s="39" t="n"/>
      <c r="I14" s="39" t="n"/>
      <c r="J14" s="39" t="n"/>
      <c r="K14" s="39" t="n"/>
    </row>
    <row r="15" ht="15" customHeight="1" s="34">
      <c r="A15" s="41" t="n"/>
      <c r="B15" s="41" t="n"/>
      <c r="C15" s="41" t="n"/>
      <c r="E15" s="41" t="n"/>
      <c r="F15" s="41" t="n"/>
      <c r="G15" s="41" t="n"/>
      <c r="I15" s="41" t="n"/>
      <c r="J15" s="41" t="n"/>
      <c r="K15" s="41" t="n"/>
    </row>
    <row r="16" ht="15" customHeight="1" s="34">
      <c r="A16" s="39" t="n"/>
      <c r="B16" s="39" t="n"/>
      <c r="C16" s="39" t="n"/>
      <c r="E16" s="39" t="n"/>
      <c r="F16" s="39" t="n"/>
      <c r="G16" s="39" t="n"/>
      <c r="I16" s="39" t="n"/>
      <c r="J16" s="39" t="n"/>
      <c r="K16" s="39" t="n"/>
    </row>
    <row r="17" ht="15" customHeight="1" s="34">
      <c r="A17" s="41" t="n"/>
      <c r="B17" s="41" t="n"/>
      <c r="C17" s="41" t="n"/>
      <c r="E17" s="41" t="n"/>
      <c r="F17" s="41" t="n"/>
      <c r="G17" s="41" t="n"/>
      <c r="I17" s="41" t="n"/>
      <c r="J17" s="41" t="n"/>
      <c r="K17" s="41" t="n"/>
    </row>
    <row r="18" ht="15" customHeight="1" s="34">
      <c r="A18" s="39" t="n"/>
      <c r="B18" s="39" t="n"/>
      <c r="C18" s="39" t="n"/>
      <c r="E18" s="39" t="n"/>
      <c r="F18" s="39" t="n"/>
      <c r="G18" s="39" t="n"/>
      <c r="I18" s="39" t="n"/>
      <c r="J18" s="39" t="n"/>
      <c r="K18" s="39" t="n"/>
    </row>
    <row r="19" ht="15" customHeight="1" s="34">
      <c r="A19" s="41" t="n"/>
      <c r="B19" s="41" t="n"/>
      <c r="C19" s="41" t="n"/>
      <c r="E19" s="41" t="n"/>
      <c r="F19" s="41" t="n"/>
      <c r="G19" s="41" t="n"/>
      <c r="I19" s="41" t="n"/>
      <c r="J19" s="41" t="n"/>
      <c r="K19" s="41" t="n"/>
    </row>
    <row r="20" ht="15" customHeight="1" s="34">
      <c r="A20" s="39" t="n"/>
      <c r="B20" s="39" t="n"/>
      <c r="C20" s="39" t="n"/>
      <c r="E20" s="39" t="n"/>
      <c r="F20" s="39" t="n"/>
      <c r="G20" s="39" t="n"/>
      <c r="I20" s="39" t="n"/>
      <c r="J20" s="39" t="n"/>
      <c r="K20" s="39" t="n"/>
    </row>
    <row r="21" ht="15" customHeight="1" s="34">
      <c r="A21" s="41" t="n"/>
      <c r="B21" s="41" t="n"/>
      <c r="C21" s="41" t="n"/>
      <c r="E21" s="41" t="n"/>
      <c r="F21" s="41" t="n"/>
      <c r="G21" s="41" t="n"/>
      <c r="I21" s="41" t="n"/>
      <c r="J21" s="41" t="n"/>
      <c r="K21" s="41" t="n"/>
    </row>
    <row r="22" ht="15" customHeight="1" s="34">
      <c r="A22" s="39" t="n"/>
      <c r="B22" s="39" t="n"/>
      <c r="C22" s="39" t="n"/>
      <c r="E22" s="39" t="n"/>
      <c r="F22" s="39" t="n"/>
      <c r="G22" s="39" t="n"/>
      <c r="I22" s="39" t="n"/>
      <c r="J22" s="39" t="n"/>
      <c r="K22" s="39" t="n"/>
    </row>
    <row r="23" ht="15" customHeight="1" s="34">
      <c r="A23" s="41" t="n"/>
      <c r="B23" s="41" t="n"/>
      <c r="C23" s="41" t="n"/>
      <c r="E23" s="41" t="n"/>
      <c r="F23" s="41" t="n"/>
      <c r="G23" s="41" t="n"/>
      <c r="I23" s="41" t="n"/>
      <c r="J23" s="41" t="n"/>
      <c r="K23" s="41" t="n"/>
    </row>
    <row r="24" ht="15" customHeight="1" s="34">
      <c r="A24" s="39" t="n"/>
      <c r="B24" s="39" t="n"/>
      <c r="C24" s="39" t="n"/>
      <c r="E24" s="39" t="n"/>
      <c r="F24" s="39" t="n"/>
      <c r="G24" s="39" t="n"/>
      <c r="I24" s="39" t="n"/>
      <c r="J24" s="39" t="n"/>
      <c r="K24" s="39" t="n"/>
    </row>
    <row r="25" ht="15" customHeight="1" s="34">
      <c r="A25" s="41" t="n"/>
      <c r="B25" s="41" t="n"/>
      <c r="C25" s="41" t="n"/>
      <c r="E25" s="41" t="n"/>
      <c r="F25" s="41" t="n"/>
      <c r="G25" s="41" t="n"/>
      <c r="I25" s="41" t="n"/>
      <c r="J25" s="41" t="n"/>
      <c r="K25" s="41" t="n"/>
    </row>
    <row r="26" ht="15" customHeight="1" s="34">
      <c r="A26" s="39" t="n"/>
      <c r="B26" s="39" t="n"/>
      <c r="C26" s="39" t="n"/>
      <c r="E26" s="39" t="n"/>
      <c r="F26" s="39" t="n"/>
      <c r="G26" s="39" t="n"/>
      <c r="I26" s="39" t="n"/>
      <c r="J26" s="39" t="n"/>
      <c r="K26" s="39" t="n"/>
    </row>
    <row r="27" ht="15" customHeight="1" s="34">
      <c r="A27" s="41" t="n"/>
      <c r="B27" s="41" t="n"/>
      <c r="C27" s="41" t="n"/>
      <c r="E27" s="41" t="n"/>
      <c r="F27" s="41" t="n"/>
      <c r="G27" s="41" t="n"/>
      <c r="I27" s="41" t="n"/>
      <c r="J27" s="41" t="n"/>
      <c r="K27" s="41" t="n"/>
    </row>
    <row r="28" ht="15" customHeight="1" s="34">
      <c r="A28" s="39" t="n"/>
      <c r="B28" s="39" t="n"/>
      <c r="C28" s="39" t="n"/>
      <c r="E28" s="39" t="n"/>
      <c r="F28" s="39" t="n"/>
      <c r="G28" s="39" t="n"/>
      <c r="I28" s="39" t="n"/>
      <c r="J28" s="39" t="n"/>
      <c r="K28" s="39" t="n"/>
    </row>
    <row r="29" ht="15" customHeight="1" s="34">
      <c r="A29" s="41" t="n"/>
      <c r="B29" s="41" t="n"/>
      <c r="C29" s="41" t="n"/>
      <c r="E29" s="41" t="n"/>
      <c r="F29" s="41" t="n"/>
      <c r="G29" s="41" t="n"/>
      <c r="I29" s="41" t="n"/>
      <c r="J29" s="41" t="n"/>
      <c r="K29" s="41" t="n"/>
    </row>
    <row r="30" ht="15" customHeight="1" s="34">
      <c r="A30" s="39" t="n"/>
      <c r="B30" s="39" t="n"/>
      <c r="C30" s="39" t="n"/>
      <c r="E30" s="39" t="n"/>
      <c r="F30" s="39" t="n"/>
      <c r="G30" s="39" t="n"/>
      <c r="I30" s="39" t="n"/>
      <c r="J30" s="39" t="n"/>
      <c r="K30" s="39" t="n"/>
    </row>
    <row r="31" ht="15" customHeight="1" s="34">
      <c r="A31" s="41" t="n"/>
      <c r="B31" s="41" t="n"/>
      <c r="C31" s="41" t="n"/>
      <c r="E31" s="41" t="n"/>
      <c r="F31" s="41" t="n"/>
      <c r="G31" s="41" t="n"/>
      <c r="I31" s="41" t="n"/>
      <c r="J31" s="41" t="n"/>
      <c r="K31" s="41" t="n"/>
    </row>
    <row r="32" ht="15" customHeight="1" s="34">
      <c r="A32" s="39" t="n"/>
      <c r="B32" s="39" t="n"/>
      <c r="C32" s="39" t="n"/>
      <c r="E32" s="39" t="n"/>
      <c r="F32" s="39" t="n"/>
      <c r="G32" s="39" t="n"/>
      <c r="I32" s="39" t="n"/>
      <c r="J32" s="39" t="n"/>
      <c r="K32" s="39" t="n"/>
    </row>
    <row r="33" ht="15" customHeight="1" s="34">
      <c r="A33" s="41" t="n"/>
      <c r="B33" s="41" t="n"/>
      <c r="C33" s="41" t="n"/>
      <c r="E33" s="41" t="n"/>
      <c r="F33" s="41" t="n"/>
      <c r="G33" s="41" t="n"/>
      <c r="I33" s="41" t="n"/>
      <c r="J33" s="41" t="n"/>
      <c r="K33" s="41" t="n"/>
    </row>
    <row r="34" ht="15" customHeight="1" s="34">
      <c r="A34" s="39" t="n"/>
      <c r="B34" s="39" t="n"/>
      <c r="C34" s="39" t="n"/>
      <c r="E34" s="39" t="n"/>
      <c r="F34" s="39" t="n"/>
      <c r="G34" s="39" t="n"/>
      <c r="I34" s="39" t="n"/>
      <c r="J34" s="39" t="n"/>
      <c r="K34" s="39" t="n"/>
    </row>
    <row r="35" ht="15" customHeight="1" s="34">
      <c r="A35" s="41" t="n"/>
      <c r="B35" s="41" t="n"/>
      <c r="C35" s="41" t="n"/>
      <c r="E35" s="41" t="n"/>
      <c r="F35" s="41" t="n"/>
      <c r="G35" s="41" t="n"/>
      <c r="I35" s="41" t="n"/>
      <c r="J35" s="41" t="n"/>
      <c r="K35" s="41" t="n"/>
    </row>
    <row r="36" ht="15" customHeight="1" s="34">
      <c r="A36" s="39" t="n"/>
      <c r="B36" s="39" t="n"/>
      <c r="C36" s="39" t="n"/>
      <c r="E36" s="39" t="n"/>
      <c r="F36" s="39" t="n"/>
      <c r="G36" s="39" t="n"/>
      <c r="I36" s="39" t="n"/>
      <c r="J36" s="39" t="n"/>
      <c r="K36" s="39" t="n"/>
    </row>
    <row r="37" ht="15" customHeight="1" s="34">
      <c r="A37" s="41" t="n"/>
      <c r="B37" s="41" t="n"/>
      <c r="C37" s="41" t="n"/>
      <c r="E37" s="41" t="n"/>
      <c r="F37" s="41" t="n"/>
      <c r="G37" s="41" t="n"/>
      <c r="I37" s="41" t="n"/>
      <c r="J37" s="41" t="n"/>
      <c r="K37" s="41" t="n"/>
    </row>
    <row r="38" ht="15" customHeight="1" s="34">
      <c r="A38" s="39" t="n"/>
      <c r="B38" s="39" t="n"/>
      <c r="C38" s="39" t="n"/>
      <c r="E38" s="39" t="n"/>
      <c r="F38" s="39" t="n"/>
      <c r="G38" s="39" t="n"/>
      <c r="I38" s="39" t="n"/>
      <c r="J38" s="39" t="n"/>
      <c r="K38" s="39" t="n"/>
    </row>
    <row r="39" ht="15" customHeight="1" s="34">
      <c r="A39" s="41" t="n"/>
      <c r="B39" s="41" t="n"/>
      <c r="C39" s="41" t="n"/>
      <c r="E39" s="41" t="n"/>
      <c r="F39" s="41" t="n"/>
      <c r="G39" s="41" t="n"/>
      <c r="I39" s="41" t="n"/>
      <c r="J39" s="41" t="n"/>
      <c r="K39" s="41" t="n"/>
    </row>
    <row r="40" ht="15" customHeight="1" s="34">
      <c r="A40" s="39" t="n"/>
      <c r="B40" s="39" t="n"/>
      <c r="C40" s="39" t="n"/>
      <c r="E40" s="39" t="n"/>
      <c r="F40" s="39" t="n"/>
      <c r="G40" s="39" t="n"/>
      <c r="I40" s="39" t="n"/>
      <c r="J40" s="39" t="n"/>
      <c r="K40" s="39" t="n"/>
    </row>
    <row r="41" ht="15" customHeight="1" s="34">
      <c r="I41" s="41" t="n"/>
      <c r="J41" s="41" t="n"/>
      <c r="K41" s="41" t="n"/>
    </row>
    <row r="42" ht="15" customHeight="1" s="34">
      <c r="I42" s="39" t="n"/>
      <c r="J42" s="39" t="n"/>
      <c r="K42" s="39" t="n"/>
    </row>
    <row r="43" ht="15" customHeight="1" s="34">
      <c r="I43" s="41" t="n"/>
      <c r="J43" s="41" t="n"/>
      <c r="K43" s="41" t="n"/>
    </row>
    <row r="44" ht="15" customHeight="1" s="34">
      <c r="I44" s="39" t="n"/>
      <c r="J44" s="39" t="n"/>
      <c r="K44" s="39" t="n"/>
    </row>
    <row r="45" ht="15" customHeight="1" s="34">
      <c r="I45" s="41" t="n"/>
      <c r="J45" s="41" t="n"/>
      <c r="K45" s="41" t="n"/>
    </row>
    <row r="46" ht="15" customHeight="1" s="34">
      <c r="I46" s="39" t="n"/>
      <c r="J46" s="39" t="n"/>
      <c r="K46" s="39" t="n"/>
    </row>
    <row r="47" ht="15" customHeight="1" s="34">
      <c r="I47" s="41" t="n"/>
      <c r="J47" s="41" t="n"/>
      <c r="K47" s="41" t="n"/>
    </row>
    <row r="48" ht="15" customHeight="1" s="34">
      <c r="I48" s="39" t="n"/>
      <c r="J48" s="39" t="n"/>
      <c r="K48" s="39" t="n"/>
    </row>
    <row r="49" ht="15" customHeight="1" s="34">
      <c r="I49" s="41" t="n"/>
      <c r="J49" s="41" t="n"/>
      <c r="K49" s="41" t="n"/>
    </row>
    <row r="50" ht="15" customHeight="1" s="34">
      <c r="I50" s="39" t="n"/>
      <c r="J50" s="39" t="n"/>
      <c r="K50" s="39" t="n"/>
    </row>
    <row r="51" ht="15" customHeight="1" s="34">
      <c r="I51" s="41" t="n"/>
      <c r="J51" s="41" t="n"/>
      <c r="K51" s="41" t="n"/>
    </row>
    <row r="52" ht="15" customHeight="1" s="34">
      <c r="I52" s="39" t="n"/>
      <c r="J52" s="39" t="n"/>
      <c r="K52" s="39" t="n"/>
    </row>
    <row r="53" ht="15" customHeight="1" s="34">
      <c r="I53" s="41" t="n"/>
      <c r="J53" s="41" t="n"/>
      <c r="K53" s="41" t="n"/>
    </row>
    <row r="54" ht="15" customHeight="1" s="34">
      <c r="I54" s="39" t="n"/>
      <c r="J54" s="39" t="n"/>
      <c r="K54" s="39" t="n"/>
    </row>
    <row r="55" ht="15" customHeight="1" s="34">
      <c r="I55" s="41" t="n"/>
      <c r="J55" s="41" t="n"/>
      <c r="K55" s="41" t="n"/>
    </row>
    <row r="56" ht="15" customHeight="1" s="34">
      <c r="I56" s="39" t="n"/>
      <c r="J56" s="39" t="n"/>
      <c r="K56" s="39" t="n"/>
    </row>
    <row r="57" ht="15" customHeight="1" s="34">
      <c r="I57" s="41" t="n"/>
      <c r="J57" s="41" t="n"/>
      <c r="K57" s="41" t="n"/>
    </row>
    <row r="58" ht="15" customHeight="1" s="34">
      <c r="I58" s="39" t="n"/>
      <c r="J58" s="39" t="n"/>
      <c r="K58" s="39" t="n"/>
    </row>
    <row r="59" ht="15" customHeight="1" s="34">
      <c r="I59" s="41" t="n"/>
      <c r="J59" s="41" t="n"/>
      <c r="K59" s="41" t="n"/>
    </row>
    <row r="60" ht="15" customHeight="1" s="34">
      <c r="I60" s="39" t="n"/>
      <c r="J60" s="39" t="n"/>
      <c r="K60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80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18" customWidth="1" style="33" min="1" max="1"/>
    <col width="14" customWidth="1" style="33" min="2" max="2"/>
    <col width="24" customWidth="1" style="33" min="3" max="3"/>
    <col width="28" customWidth="1" style="33" min="4" max="4"/>
    <col width="22" customWidth="1" style="33" min="5" max="5"/>
    <col width="24" customWidth="1" style="33" min="6" max="6"/>
    <col width="16" customWidth="1" style="33" min="7" max="8"/>
    <col width="22" customWidth="1" style="33" min="9" max="9"/>
    <col width="28" customWidth="1" style="33" min="10" max="11"/>
    <col width="24" customWidth="1" style="33" min="12" max="12"/>
    <col width="18" customWidth="1" style="33" min="13" max="13"/>
    <col width="16" customWidth="1" style="33" min="14" max="14"/>
    <col width="28" customWidth="1" style="34" min="15" max="15"/>
  </cols>
  <sheetData>
    <row r="1" ht="15" customHeight="1" s="34">
      <c r="A1" s="51" t="inlineStr">
        <is>
          <t>提交日期 / Submission Date</t>
        </is>
      </c>
      <c r="B1" s="51" t="inlineStr">
        <is>
          <t>月份 / Month</t>
        </is>
      </c>
      <c r="C1" s="51" t="inlineStr">
        <is>
          <t>保单/证书号 / Policy / Cert No.</t>
        </is>
      </c>
      <c r="D1" s="52" t="inlineStr">
        <is>
          <t>客户名称 / Client Name</t>
        </is>
      </c>
      <c r="E1" s="51" t="inlineStr">
        <is>
          <t>销售员ID / Salesperson ID</t>
        </is>
      </c>
      <c r="F1" s="51" t="inlineStr">
        <is>
          <t>销售员姓名 / Salesperson Name</t>
        </is>
      </c>
      <c r="G1" s="51" t="inlineStr">
        <is>
          <t>团队 / Team</t>
        </is>
      </c>
      <c r="H1" s="51" t="inlineStr">
        <is>
          <t>地区 / Region</t>
        </is>
      </c>
      <c r="I1" s="51" t="inlineStr">
        <is>
          <t>产品线 / Product Line</t>
        </is>
      </c>
      <c r="J1" s="51" t="inlineStr">
        <is>
          <t>公司/供应商 / Company/Vendor</t>
        </is>
      </c>
      <c r="K1" s="53" t="inlineStr">
        <is>
          <t>Plan Type / 计划类型</t>
        </is>
      </c>
      <c r="L1" s="51" t="inlineStr">
        <is>
          <t>保费金额(MYR) / Premium Amount (MYR)</t>
        </is>
      </c>
      <c r="M1" t="inlineStr">
        <is>
          <t>生效状态 / Inforce Status</t>
        </is>
      </c>
      <c r="N1" s="51" t="inlineStr">
        <is>
          <t>单数 / Case Count</t>
        </is>
      </c>
      <c r="O1" s="52" t="inlineStr">
        <is>
          <t>备注 / Notes</t>
        </is>
      </c>
    </row>
    <row r="2" ht="15" customHeight="1" s="34">
      <c r="A2" s="46" t="n">
        <v>46023</v>
      </c>
      <c r="B2" s="39">
        <f>IF(A2="","",TEXT(A2,"mmm"))</f>
        <v/>
      </c>
      <c r="C2" s="39" t="inlineStr">
        <is>
          <t>ORD-2026-01-S001</t>
        </is>
      </c>
      <c r="D2" s="40" t="inlineStr">
        <is>
          <t>Sample Client - Jason Lim - Jan</t>
        </is>
      </c>
      <c r="E2" s="39" t="inlineStr">
        <is>
          <t>S001</t>
        </is>
      </c>
      <c r="F2" s="39">
        <f>IFERROR(INDEX(销售员主数据!$B$2:$B$101,MATCH($E2,销售员主数据!$A$2:$A$101,0)),"")</f>
        <v/>
      </c>
      <c r="G2" s="39">
        <f>IFERROR(INDEX(销售员主数据!$C$2:$C$101,MATCH($E2,销售员主数据!$A$2:$A$101,0)),"")</f>
        <v/>
      </c>
      <c r="H2" s="39">
        <f>IFERROR(INDEX(销售员主数据!$D$2:$D$101,MATCH($E2,销售员主数据!$A$2:$A$101,0)),"")</f>
        <v/>
      </c>
      <c r="I2" s="50" t="inlineStr">
        <is>
          <t>Life</t>
        </is>
      </c>
      <c r="J2" s="50" t="inlineStr">
        <is>
          <t>EPTS Life</t>
        </is>
      </c>
      <c r="K2" s="54" t="inlineStr">
        <is>
          <t>Life Secure</t>
        </is>
      </c>
      <c r="L2" s="55" t="n">
        <v>88200</v>
      </c>
      <c r="M2" s="56" t="inlineStr">
        <is>
          <t>Inforce</t>
        </is>
      </c>
      <c r="N2" s="57" t="n">
        <v>14</v>
      </c>
      <c r="O2" s="40" t="inlineStr">
        <is>
          <t>Dashboard sample data / 仪表板示例数据</t>
        </is>
      </c>
    </row>
    <row r="3" ht="15" customHeight="1" s="34">
      <c r="A3" s="46" t="n">
        <v>46054</v>
      </c>
      <c r="B3" s="39">
        <f>IF(A3="","",TEXT(A3,"mmm"))</f>
        <v/>
      </c>
      <c r="C3" s="39" t="inlineStr">
        <is>
          <t>ORD-2026-02-S001</t>
        </is>
      </c>
      <c r="D3" s="40" t="inlineStr">
        <is>
          <t>Sample Client - Jason Lim - Feb</t>
        </is>
      </c>
      <c r="E3" s="39" t="inlineStr">
        <is>
          <t>S001</t>
        </is>
      </c>
      <c r="F3" s="39">
        <f>IFERROR(INDEX(销售员主数据!$B$2:$B$101,MATCH($E3,销售员主数据!$A$2:$A$101,0)),"")</f>
        <v/>
      </c>
      <c r="G3" s="39">
        <f>IFERROR(INDEX(销售员主数据!$C$2:$C$101,MATCH($E3,销售员主数据!$A$2:$A$101,0)),"")</f>
        <v/>
      </c>
      <c r="H3" s="39">
        <f>IFERROR(INDEX(销售员主数据!$D$2:$D$101,MATCH($E3,销售员主数据!$A$2:$A$101,0)),"")</f>
        <v/>
      </c>
      <c r="I3" s="50" t="inlineStr">
        <is>
          <t>Life</t>
        </is>
      </c>
      <c r="J3" s="50" t="inlineStr">
        <is>
          <t>EPTS Life</t>
        </is>
      </c>
      <c r="K3" s="54" t="inlineStr">
        <is>
          <t>Life Secure</t>
        </is>
      </c>
      <c r="L3" s="55" t="n">
        <v>104300</v>
      </c>
      <c r="M3" s="56" t="inlineStr">
        <is>
          <t>Inforce</t>
        </is>
      </c>
      <c r="N3" s="57" t="n">
        <v>16</v>
      </c>
      <c r="O3" s="40" t="inlineStr">
        <is>
          <t>Dashboard sample data / 仪表板示例数据</t>
        </is>
      </c>
    </row>
    <row r="4" ht="15" customHeight="1" s="34">
      <c r="A4" s="46" t="n">
        <v>46082</v>
      </c>
      <c r="B4" s="39">
        <f>IF(A4="","",TEXT(A4,"mmm"))</f>
        <v/>
      </c>
      <c r="C4" s="39" t="inlineStr">
        <is>
          <t>ORD-2026-03-S001</t>
        </is>
      </c>
      <c r="D4" s="40" t="inlineStr">
        <is>
          <t>Sample Client - Jason Lim - Mar</t>
        </is>
      </c>
      <c r="E4" s="39" t="inlineStr">
        <is>
          <t>S001</t>
        </is>
      </c>
      <c r="F4" s="39">
        <f>IFERROR(INDEX(销售员主数据!$B$2:$B$101,MATCH($E4,销售员主数据!$A$2:$A$101,0)),"")</f>
        <v/>
      </c>
      <c r="G4" s="39">
        <f>IFERROR(INDEX(销售员主数据!$C$2:$C$101,MATCH($E4,销售员主数据!$A$2:$A$101,0)),"")</f>
        <v/>
      </c>
      <c r="H4" s="39">
        <f>IFERROR(INDEX(销售员主数据!$D$2:$D$101,MATCH($E4,销售员主数据!$A$2:$A$101,0)),"")</f>
        <v/>
      </c>
      <c r="I4" s="50" t="inlineStr">
        <is>
          <t>Life</t>
        </is>
      </c>
      <c r="J4" s="50" t="inlineStr">
        <is>
          <t>EPTS Life</t>
        </is>
      </c>
      <c r="K4" s="54" t="inlineStr">
        <is>
          <t>Life Secure</t>
        </is>
      </c>
      <c r="L4" s="55" t="n">
        <v>136500</v>
      </c>
      <c r="M4" s="56" t="inlineStr">
        <is>
          <t>Inforce</t>
        </is>
      </c>
      <c r="N4" s="57" t="n">
        <v>19</v>
      </c>
      <c r="O4" s="40" t="inlineStr">
        <is>
          <t>Dashboard sample data / 仪表板示例数据</t>
        </is>
      </c>
    </row>
    <row r="5" ht="15" customHeight="1" s="34">
      <c r="A5" s="46" t="n">
        <v>46113</v>
      </c>
      <c r="B5" s="39">
        <f>IF(A5="","",TEXT(A5,"mmm"))</f>
        <v/>
      </c>
      <c r="C5" s="39" t="inlineStr">
        <is>
          <t>ORD-2026-04-S001</t>
        </is>
      </c>
      <c r="D5" s="40" t="inlineStr">
        <is>
          <t>Sample Client - Jason Lim - Apr</t>
        </is>
      </c>
      <c r="E5" s="39" t="inlineStr">
        <is>
          <t>S001</t>
        </is>
      </c>
      <c r="F5" s="39">
        <f>IFERROR(INDEX(销售员主数据!$B$2:$B$101,MATCH($E5,销售员主数据!$A$2:$A$101,0)),"")</f>
        <v/>
      </c>
      <c r="G5" s="39">
        <f>IFERROR(INDEX(销售员主数据!$C$2:$C$101,MATCH($E5,销售员主数据!$A$2:$A$101,0)),"")</f>
        <v/>
      </c>
      <c r="H5" s="39">
        <f>IFERROR(INDEX(销售员主数据!$D$2:$D$101,MATCH($E5,销售员主数据!$A$2:$A$101,0)),"")</f>
        <v/>
      </c>
      <c r="I5" s="50" t="inlineStr">
        <is>
          <t>Life</t>
        </is>
      </c>
      <c r="J5" s="50" t="inlineStr">
        <is>
          <t>EPTS Life</t>
        </is>
      </c>
      <c r="K5" s="54" t="inlineStr">
        <is>
          <t>Life Secure</t>
        </is>
      </c>
      <c r="L5" s="55" t="n">
        <v>151800</v>
      </c>
      <c r="M5" s="56" t="inlineStr">
        <is>
          <t>Inforce</t>
        </is>
      </c>
      <c r="N5" s="57" t="n">
        <v>21</v>
      </c>
      <c r="O5" s="40" t="inlineStr">
        <is>
          <t>Dashboard sample data / 仪表板示例数据</t>
        </is>
      </c>
    </row>
    <row r="6" ht="15" customHeight="1" s="34">
      <c r="A6" s="46" t="n">
        <v>46143</v>
      </c>
      <c r="B6" s="39">
        <f>IF(A6="","",TEXT(A6,"mmm"))</f>
        <v/>
      </c>
      <c r="C6" s="39" t="inlineStr">
        <is>
          <t>ORD-2026-05-S001</t>
        </is>
      </c>
      <c r="D6" s="40" t="inlineStr">
        <is>
          <t>Sample Client - Jason Lim - May</t>
        </is>
      </c>
      <c r="E6" s="39" t="inlineStr">
        <is>
          <t>S001</t>
        </is>
      </c>
      <c r="F6" s="39">
        <f>IFERROR(INDEX(销售员主数据!$B$2:$B$101,MATCH($E6,销售员主数据!$A$2:$A$101,0)),"")</f>
        <v/>
      </c>
      <c r="G6" s="39">
        <f>IFERROR(INDEX(销售员主数据!$C$2:$C$101,MATCH($E6,销售员主数据!$A$2:$A$101,0)),"")</f>
        <v/>
      </c>
      <c r="H6" s="39">
        <f>IFERROR(INDEX(销售员主数据!$D$2:$D$101,MATCH($E6,销售员主数据!$A$2:$A$101,0)),"")</f>
        <v/>
      </c>
      <c r="I6" s="50" t="inlineStr">
        <is>
          <t>Life</t>
        </is>
      </c>
      <c r="J6" s="50" t="inlineStr">
        <is>
          <t>EPTS Life</t>
        </is>
      </c>
      <c r="K6" s="54" t="inlineStr">
        <is>
          <t>Life Secure</t>
        </is>
      </c>
      <c r="L6" s="55" t="n">
        <v>180200</v>
      </c>
      <c r="M6" s="56" t="inlineStr">
        <is>
          <t>Inforce</t>
        </is>
      </c>
      <c r="N6" s="57" t="n">
        <v>23</v>
      </c>
      <c r="O6" s="40" t="inlineStr">
        <is>
          <t>Dashboard sample data / 仪表板示例数据</t>
        </is>
      </c>
    </row>
    <row r="7" ht="15" customHeight="1" s="34">
      <c r="A7" s="46" t="n">
        <v>46174</v>
      </c>
      <c r="B7" s="39">
        <f>IF(A7="","",TEXT(A7,"mmm"))</f>
        <v/>
      </c>
      <c r="C7" s="39" t="inlineStr">
        <is>
          <t>ORD-2026-06-S001</t>
        </is>
      </c>
      <c r="D7" s="40" t="inlineStr">
        <is>
          <t>Sample Client - Jason Lim - Jun</t>
        </is>
      </c>
      <c r="E7" s="39" t="inlineStr">
        <is>
          <t>S001</t>
        </is>
      </c>
      <c r="F7" s="39">
        <f>IFERROR(INDEX(销售员主数据!$B$2:$B$101,MATCH($E7,销售员主数据!$A$2:$A$101,0)),"")</f>
        <v/>
      </c>
      <c r="G7" s="39">
        <f>IFERROR(INDEX(销售员主数据!$C$2:$C$101,MATCH($E7,销售员主数据!$A$2:$A$101,0)),"")</f>
        <v/>
      </c>
      <c r="H7" s="39">
        <f>IFERROR(INDEX(销售员主数据!$D$2:$D$101,MATCH($E7,销售员主数据!$A$2:$A$101,0)),"")</f>
        <v/>
      </c>
      <c r="I7" s="50" t="inlineStr">
        <is>
          <t>Life</t>
        </is>
      </c>
      <c r="J7" s="50" t="inlineStr">
        <is>
          <t>EPTS Life</t>
        </is>
      </c>
      <c r="K7" s="54" t="inlineStr">
        <is>
          <t>Life Secure</t>
        </is>
      </c>
      <c r="L7" s="55" t="n">
        <v>194300</v>
      </c>
      <c r="M7" s="56" t="inlineStr">
        <is>
          <t>Submitted</t>
        </is>
      </c>
      <c r="N7" s="57" t="n">
        <v>24</v>
      </c>
      <c r="O7" s="40" t="inlineStr">
        <is>
          <t>Dashboard sample data / 仪表板示例数据</t>
        </is>
      </c>
    </row>
    <row r="8" ht="15" customHeight="1" s="34">
      <c r="A8" s="46" t="n">
        <v>46023</v>
      </c>
      <c r="B8" s="39">
        <f>IF(A8="","",TEXT(A8,"mmm"))</f>
        <v/>
      </c>
      <c r="C8" s="39" t="inlineStr">
        <is>
          <t>ORD-2026-01-S002</t>
        </is>
      </c>
      <c r="D8" s="40" t="inlineStr">
        <is>
          <t>Sample Client - Alicia Tan - Jan</t>
        </is>
      </c>
      <c r="E8" s="39" t="inlineStr">
        <is>
          <t>S002</t>
        </is>
      </c>
      <c r="F8" s="39">
        <f>IFERROR(INDEX(销售员主数据!$B$2:$B$101,MATCH($E8,销售员主数据!$A$2:$A$101,0)),"")</f>
        <v/>
      </c>
      <c r="G8" s="39">
        <f>IFERROR(INDEX(销售员主数据!$C$2:$C$101,MATCH($E8,销售员主数据!$A$2:$A$101,0)),"")</f>
        <v/>
      </c>
      <c r="H8" s="39">
        <f>IFERROR(INDEX(销售员主数据!$D$2:$D$101,MATCH($E8,销售员主数据!$A$2:$A$101,0)),"")</f>
        <v/>
      </c>
      <c r="I8" s="50" t="inlineStr">
        <is>
          <t>Medical</t>
        </is>
      </c>
      <c r="J8" s="50" t="inlineStr">
        <is>
          <t>MediPlus</t>
        </is>
      </c>
      <c r="K8" s="54" t="inlineStr">
        <is>
          <t>Medical Prime</t>
        </is>
      </c>
      <c r="L8" s="55" t="n">
        <v>79300</v>
      </c>
      <c r="M8" s="56" t="inlineStr">
        <is>
          <t>Inforce</t>
        </is>
      </c>
      <c r="N8" s="57" t="n">
        <v>12</v>
      </c>
      <c r="O8" s="40" t="inlineStr">
        <is>
          <t>Dashboard sample data / 仪表板示例数据</t>
        </is>
      </c>
    </row>
    <row r="9" ht="15" customHeight="1" s="34">
      <c r="A9" s="46" t="n">
        <v>46054</v>
      </c>
      <c r="B9" s="39">
        <f>IF(A9="","",TEXT(A9,"mmm"))</f>
        <v/>
      </c>
      <c r="C9" s="39" t="inlineStr">
        <is>
          <t>ORD-2026-02-S002</t>
        </is>
      </c>
      <c r="D9" s="40" t="inlineStr">
        <is>
          <t>Sample Client - Alicia Tan - Feb</t>
        </is>
      </c>
      <c r="E9" s="39" t="inlineStr">
        <is>
          <t>S002</t>
        </is>
      </c>
      <c r="F9" s="39">
        <f>IFERROR(INDEX(销售员主数据!$B$2:$B$101,MATCH($E9,销售员主数据!$A$2:$A$101,0)),"")</f>
        <v/>
      </c>
      <c r="G9" s="39">
        <f>IFERROR(INDEX(销售员主数据!$C$2:$C$101,MATCH($E9,销售员主数据!$A$2:$A$101,0)),"")</f>
        <v/>
      </c>
      <c r="H9" s="39">
        <f>IFERROR(INDEX(销售员主数据!$D$2:$D$101,MATCH($E9,销售员主数据!$A$2:$A$101,0)),"")</f>
        <v/>
      </c>
      <c r="I9" s="50" t="inlineStr">
        <is>
          <t>Medical</t>
        </is>
      </c>
      <c r="J9" s="50" t="inlineStr">
        <is>
          <t>MediPlus</t>
        </is>
      </c>
      <c r="K9" s="54" t="inlineStr">
        <is>
          <t>Medical Prime</t>
        </is>
      </c>
      <c r="L9" s="55" t="n">
        <v>92800</v>
      </c>
      <c r="M9" s="56" t="inlineStr">
        <is>
          <t>Inforce</t>
        </is>
      </c>
      <c r="N9" s="57" t="n">
        <v>15</v>
      </c>
      <c r="O9" s="40" t="inlineStr">
        <is>
          <t>Dashboard sample data / 仪表板示例数据</t>
        </is>
      </c>
    </row>
    <row r="10" ht="15" customHeight="1" s="34">
      <c r="A10" s="46" t="n">
        <v>46082</v>
      </c>
      <c r="B10" s="39">
        <f>IF(A10="","",TEXT(A10,"mmm"))</f>
        <v/>
      </c>
      <c r="C10" s="39" t="inlineStr">
        <is>
          <t>ORD-2026-03-S002</t>
        </is>
      </c>
      <c r="D10" s="40" t="inlineStr">
        <is>
          <t>Sample Client - Alicia Tan - Mar</t>
        </is>
      </c>
      <c r="E10" s="39" t="inlineStr">
        <is>
          <t>S002</t>
        </is>
      </c>
      <c r="F10" s="39">
        <f>IFERROR(INDEX(销售员主数据!$B$2:$B$101,MATCH($E10,销售员主数据!$A$2:$A$101,0)),"")</f>
        <v/>
      </c>
      <c r="G10" s="39">
        <f>IFERROR(INDEX(销售员主数据!$C$2:$C$101,MATCH($E10,销售员主数据!$A$2:$A$101,0)),"")</f>
        <v/>
      </c>
      <c r="H10" s="39">
        <f>IFERROR(INDEX(销售员主数据!$D$2:$D$101,MATCH($E10,销售员主数据!$A$2:$A$101,0)),"")</f>
        <v/>
      </c>
      <c r="I10" s="50" t="inlineStr">
        <is>
          <t>Medical</t>
        </is>
      </c>
      <c r="J10" s="50" t="inlineStr">
        <is>
          <t>MediPlus</t>
        </is>
      </c>
      <c r="K10" s="54" t="inlineStr">
        <is>
          <t>Medical Prime</t>
        </is>
      </c>
      <c r="L10" s="55" t="n">
        <v>125100</v>
      </c>
      <c r="M10" s="56" t="inlineStr">
        <is>
          <t>Inforce</t>
        </is>
      </c>
      <c r="N10" s="57" t="n">
        <v>17</v>
      </c>
      <c r="O10" s="40" t="inlineStr">
        <is>
          <t>Dashboard sample data / 仪表板示例数据</t>
        </is>
      </c>
    </row>
    <row r="11" ht="15" customHeight="1" s="34">
      <c r="A11" s="46" t="n">
        <v>46113</v>
      </c>
      <c r="B11" s="39">
        <f>IF(A11="","",TEXT(A11,"mmm"))</f>
        <v/>
      </c>
      <c r="C11" s="39" t="inlineStr">
        <is>
          <t>ORD-2026-04-S002</t>
        </is>
      </c>
      <c r="D11" s="40" t="inlineStr">
        <is>
          <t>Sample Client - Alicia Tan - Apr</t>
        </is>
      </c>
      <c r="E11" s="39" t="inlineStr">
        <is>
          <t>S002</t>
        </is>
      </c>
      <c r="F11" s="39">
        <f>IFERROR(INDEX(销售员主数据!$B$2:$B$101,MATCH($E11,销售员主数据!$A$2:$A$101,0)),"")</f>
        <v/>
      </c>
      <c r="G11" s="39">
        <f>IFERROR(INDEX(销售员主数据!$C$2:$C$101,MATCH($E11,销售员主数据!$A$2:$A$101,0)),"")</f>
        <v/>
      </c>
      <c r="H11" s="39">
        <f>IFERROR(INDEX(销售员主数据!$D$2:$D$101,MATCH($E11,销售员主数据!$A$2:$A$101,0)),"")</f>
        <v/>
      </c>
      <c r="I11" s="50" t="inlineStr">
        <is>
          <t>Medical</t>
        </is>
      </c>
      <c r="J11" s="50" t="inlineStr">
        <is>
          <t>MediPlus</t>
        </is>
      </c>
      <c r="K11" s="54" t="inlineStr">
        <is>
          <t>Medical Prime</t>
        </is>
      </c>
      <c r="L11" s="55" t="n">
        <v>132400</v>
      </c>
      <c r="M11" s="56" t="inlineStr">
        <is>
          <t>Inforce</t>
        </is>
      </c>
      <c r="N11" s="57" t="n">
        <v>18</v>
      </c>
      <c r="O11" s="40" t="inlineStr">
        <is>
          <t>Dashboard sample data / 仪表板示例数据</t>
        </is>
      </c>
    </row>
    <row r="12" ht="15" customHeight="1" s="34">
      <c r="A12" s="46" t="n">
        <v>46143</v>
      </c>
      <c r="B12" s="39">
        <f>IF(A12="","",TEXT(A12,"mmm"))</f>
        <v/>
      </c>
      <c r="C12" s="39" t="inlineStr">
        <is>
          <t>ORD-2026-05-S002</t>
        </is>
      </c>
      <c r="D12" s="40" t="inlineStr">
        <is>
          <t>Sample Client - Alicia Tan - May</t>
        </is>
      </c>
      <c r="E12" s="39" t="inlineStr">
        <is>
          <t>S002</t>
        </is>
      </c>
      <c r="F12" s="39">
        <f>IFERROR(INDEX(销售员主数据!$B$2:$B$101,MATCH($E12,销售员主数据!$A$2:$A$101,0)),"")</f>
        <v/>
      </c>
      <c r="G12" s="39">
        <f>IFERROR(INDEX(销售员主数据!$C$2:$C$101,MATCH($E12,销售员主数据!$A$2:$A$101,0)),"")</f>
        <v/>
      </c>
      <c r="H12" s="39">
        <f>IFERROR(INDEX(销售员主数据!$D$2:$D$101,MATCH($E12,销售员主数据!$A$2:$A$101,0)),"")</f>
        <v/>
      </c>
      <c r="I12" s="50" t="inlineStr">
        <is>
          <t>Medical</t>
        </is>
      </c>
      <c r="J12" s="50" t="inlineStr">
        <is>
          <t>MediPlus</t>
        </is>
      </c>
      <c r="K12" s="54" t="inlineStr">
        <is>
          <t>Medical Prime</t>
        </is>
      </c>
      <c r="L12" s="55" t="n">
        <v>164900</v>
      </c>
      <c r="M12" s="56" t="inlineStr">
        <is>
          <t>Inforce</t>
        </is>
      </c>
      <c r="N12" s="57" t="n">
        <v>20</v>
      </c>
      <c r="O12" s="40" t="inlineStr">
        <is>
          <t>Dashboard sample data / 仪表板示例数据</t>
        </is>
      </c>
    </row>
    <row r="13" ht="15" customHeight="1" s="34">
      <c r="A13" s="46" t="n">
        <v>46174</v>
      </c>
      <c r="B13" s="39">
        <f>IF(A13="","",TEXT(A13,"mmm"))</f>
        <v/>
      </c>
      <c r="C13" s="39" t="inlineStr">
        <is>
          <t>ORD-2026-06-S002</t>
        </is>
      </c>
      <c r="D13" s="40" t="inlineStr">
        <is>
          <t>Sample Client - Alicia Tan - Jun</t>
        </is>
      </c>
      <c r="E13" s="39" t="inlineStr">
        <is>
          <t>S002</t>
        </is>
      </c>
      <c r="F13" s="39">
        <f>IFERROR(INDEX(销售员主数据!$B$2:$B$101,MATCH($E13,销售员主数据!$A$2:$A$101,0)),"")</f>
        <v/>
      </c>
      <c r="G13" s="39">
        <f>IFERROR(INDEX(销售员主数据!$C$2:$C$101,MATCH($E13,销售员主数据!$A$2:$A$101,0)),"")</f>
        <v/>
      </c>
      <c r="H13" s="39">
        <f>IFERROR(INDEX(销售员主数据!$D$2:$D$101,MATCH($E13,销售员主数据!$A$2:$A$101,0)),"")</f>
        <v/>
      </c>
      <c r="I13" s="50" t="inlineStr">
        <is>
          <t>Medical</t>
        </is>
      </c>
      <c r="J13" s="50" t="inlineStr">
        <is>
          <t>MediPlus</t>
        </is>
      </c>
      <c r="K13" s="54" t="inlineStr">
        <is>
          <t>Medical Prime</t>
        </is>
      </c>
      <c r="L13" s="55" t="n">
        <v>175800</v>
      </c>
      <c r="M13" s="56" t="inlineStr">
        <is>
          <t>Submitted</t>
        </is>
      </c>
      <c r="N13" s="57" t="n">
        <v>21</v>
      </c>
      <c r="O13" s="40" t="inlineStr">
        <is>
          <t>Dashboard sample data / 仪表板示例数据</t>
        </is>
      </c>
    </row>
    <row r="14" ht="15" customHeight="1" s="34">
      <c r="A14" s="46" t="n">
        <v>46023</v>
      </c>
      <c r="B14" s="39">
        <f>IF(A14="","",TEXT(A14,"mmm"))</f>
        <v/>
      </c>
      <c r="C14" s="39" t="inlineStr">
        <is>
          <t>ORD-2026-01-S003</t>
        </is>
      </c>
      <c r="D14" s="40" t="inlineStr">
        <is>
          <t>Sample Client - Marcus Lee - Jan</t>
        </is>
      </c>
      <c r="E14" s="39" t="inlineStr">
        <is>
          <t>S003</t>
        </is>
      </c>
      <c r="F14" s="39">
        <f>IFERROR(INDEX(销售员主数据!$B$2:$B$101,MATCH($E14,销售员主数据!$A$2:$A$101,0)),"")</f>
        <v/>
      </c>
      <c r="G14" s="39">
        <f>IFERROR(INDEX(销售员主数据!$C$2:$C$101,MATCH($E14,销售员主数据!$A$2:$A$101,0)),"")</f>
        <v/>
      </c>
      <c r="H14" s="39">
        <f>IFERROR(INDEX(销售员主数据!$D$2:$D$101,MATCH($E14,销售员主数据!$A$2:$A$101,0)),"")</f>
        <v/>
      </c>
      <c r="I14" s="50" t="inlineStr">
        <is>
          <t>General</t>
        </is>
      </c>
      <c r="J14" s="50" t="inlineStr">
        <is>
          <t>Alpha Cover</t>
        </is>
      </c>
      <c r="K14" s="54" t="inlineStr">
        <is>
          <t>General Plus</t>
        </is>
      </c>
      <c r="L14" s="55" t="n">
        <v>71500</v>
      </c>
      <c r="M14" s="56" t="inlineStr">
        <is>
          <t>Inforce</t>
        </is>
      </c>
      <c r="N14" s="57" t="n">
        <v>11</v>
      </c>
      <c r="O14" s="40" t="inlineStr">
        <is>
          <t>Dashboard sample data / 仪表板示例数据</t>
        </is>
      </c>
    </row>
    <row r="15" ht="15" customHeight="1" s="34">
      <c r="A15" s="46" t="n">
        <v>46054</v>
      </c>
      <c r="B15" s="39">
        <f>IF(A15="","",TEXT(A15,"mmm"))</f>
        <v/>
      </c>
      <c r="C15" s="39" t="inlineStr">
        <is>
          <t>ORD-2026-02-S003</t>
        </is>
      </c>
      <c r="D15" s="40" t="inlineStr">
        <is>
          <t>Sample Client - Marcus Lee - Feb</t>
        </is>
      </c>
      <c r="E15" s="39" t="inlineStr">
        <is>
          <t>S003</t>
        </is>
      </c>
      <c r="F15" s="39">
        <f>IFERROR(INDEX(销售员主数据!$B$2:$B$101,MATCH($E15,销售员主数据!$A$2:$A$101,0)),"")</f>
        <v/>
      </c>
      <c r="G15" s="39">
        <f>IFERROR(INDEX(销售员主数据!$C$2:$C$101,MATCH($E15,销售员主数据!$A$2:$A$101,0)),"")</f>
        <v/>
      </c>
      <c r="H15" s="39">
        <f>IFERROR(INDEX(销售员主数据!$D$2:$D$101,MATCH($E15,销售员主数据!$A$2:$A$101,0)),"")</f>
        <v/>
      </c>
      <c r="I15" s="50" t="inlineStr">
        <is>
          <t>General</t>
        </is>
      </c>
      <c r="J15" s="50" t="inlineStr">
        <is>
          <t>Alpha Cover</t>
        </is>
      </c>
      <c r="K15" s="54" t="inlineStr">
        <is>
          <t>General Plus</t>
        </is>
      </c>
      <c r="L15" s="55" t="n">
        <v>84600</v>
      </c>
      <c r="M15" s="56" t="inlineStr">
        <is>
          <t>Inforce</t>
        </is>
      </c>
      <c r="N15" s="57" t="n">
        <v>12</v>
      </c>
      <c r="O15" s="40" t="inlineStr">
        <is>
          <t>Dashboard sample data / 仪表板示例数据</t>
        </is>
      </c>
    </row>
    <row r="16" ht="15" customHeight="1" s="34">
      <c r="A16" s="46" t="n">
        <v>46082</v>
      </c>
      <c r="B16" s="39">
        <f>IF(A16="","",TEXT(A16,"mmm"))</f>
        <v/>
      </c>
      <c r="C16" s="39" t="inlineStr">
        <is>
          <t>ORD-2026-03-S003</t>
        </is>
      </c>
      <c r="D16" s="40" t="inlineStr">
        <is>
          <t>Sample Client - Marcus Lee - Mar</t>
        </is>
      </c>
      <c r="E16" s="39" t="inlineStr">
        <is>
          <t>S003</t>
        </is>
      </c>
      <c r="F16" s="39">
        <f>IFERROR(INDEX(销售员主数据!$B$2:$B$101,MATCH($E16,销售员主数据!$A$2:$A$101,0)),"")</f>
        <v/>
      </c>
      <c r="G16" s="39">
        <f>IFERROR(INDEX(销售员主数据!$C$2:$C$101,MATCH($E16,销售员主数据!$A$2:$A$101,0)),"")</f>
        <v/>
      </c>
      <c r="H16" s="39">
        <f>IFERROR(INDEX(销售员主数据!$D$2:$D$101,MATCH($E16,销售员主数据!$A$2:$A$101,0)),"")</f>
        <v/>
      </c>
      <c r="I16" s="50" t="inlineStr">
        <is>
          <t>General</t>
        </is>
      </c>
      <c r="J16" s="50" t="inlineStr">
        <is>
          <t>Alpha Cover</t>
        </is>
      </c>
      <c r="K16" s="54" t="inlineStr">
        <is>
          <t>General Plus</t>
        </is>
      </c>
      <c r="L16" s="55" t="n">
        <v>108300</v>
      </c>
      <c r="M16" s="56" t="inlineStr">
        <is>
          <t>Inforce</t>
        </is>
      </c>
      <c r="N16" s="57" t="n">
        <v>15</v>
      </c>
      <c r="O16" s="40" t="inlineStr">
        <is>
          <t>Dashboard sample data / 仪表板示例数据</t>
        </is>
      </c>
    </row>
    <row r="17" ht="15" customHeight="1" s="34">
      <c r="A17" s="46" t="n">
        <v>46113</v>
      </c>
      <c r="B17" s="39">
        <f>IF(A17="","",TEXT(A17,"mmm"))</f>
        <v/>
      </c>
      <c r="C17" s="39" t="inlineStr">
        <is>
          <t>ORD-2026-04-S003</t>
        </is>
      </c>
      <c r="D17" s="40" t="inlineStr">
        <is>
          <t>Sample Client - Marcus Lee - Apr</t>
        </is>
      </c>
      <c r="E17" s="39" t="inlineStr">
        <is>
          <t>S003</t>
        </is>
      </c>
      <c r="F17" s="39">
        <f>IFERROR(INDEX(销售员主数据!$B$2:$B$101,MATCH($E17,销售员主数据!$A$2:$A$101,0)),"")</f>
        <v/>
      </c>
      <c r="G17" s="39">
        <f>IFERROR(INDEX(销售员主数据!$C$2:$C$101,MATCH($E17,销售员主数据!$A$2:$A$101,0)),"")</f>
        <v/>
      </c>
      <c r="H17" s="39">
        <f>IFERROR(INDEX(销售员主数据!$D$2:$D$101,MATCH($E17,销售员主数据!$A$2:$A$101,0)),"")</f>
        <v/>
      </c>
      <c r="I17" s="50" t="inlineStr">
        <is>
          <t>General</t>
        </is>
      </c>
      <c r="J17" s="50" t="inlineStr">
        <is>
          <t>Alpha Cover</t>
        </is>
      </c>
      <c r="K17" s="54" t="inlineStr">
        <is>
          <t>General Plus</t>
        </is>
      </c>
      <c r="L17" s="55" t="n">
        <v>120900</v>
      </c>
      <c r="M17" s="56" t="inlineStr">
        <is>
          <t>Inforce</t>
        </is>
      </c>
      <c r="N17" s="57" t="n">
        <v>16</v>
      </c>
      <c r="O17" s="40" t="inlineStr">
        <is>
          <t>Dashboard sample data / 仪表板示例数据</t>
        </is>
      </c>
    </row>
    <row r="18" ht="15" customHeight="1" s="34">
      <c r="A18" s="46" t="n">
        <v>46143</v>
      </c>
      <c r="B18" s="39">
        <f>IF(A18="","",TEXT(A18,"mmm"))</f>
        <v/>
      </c>
      <c r="C18" s="39" t="inlineStr">
        <is>
          <t>ORD-2026-05-S003</t>
        </is>
      </c>
      <c r="D18" s="40" t="inlineStr">
        <is>
          <t>Sample Client - Marcus Lee - May</t>
        </is>
      </c>
      <c r="E18" s="39" t="inlineStr">
        <is>
          <t>S003</t>
        </is>
      </c>
      <c r="F18" s="39">
        <f>IFERROR(INDEX(销售员主数据!$B$2:$B$101,MATCH($E18,销售员主数据!$A$2:$A$101,0)),"")</f>
        <v/>
      </c>
      <c r="G18" s="39">
        <f>IFERROR(INDEX(销售员主数据!$C$2:$C$101,MATCH($E18,销售员主数据!$A$2:$A$101,0)),"")</f>
        <v/>
      </c>
      <c r="H18" s="39">
        <f>IFERROR(INDEX(销售员主数据!$D$2:$D$101,MATCH($E18,销售员主数据!$A$2:$A$101,0)),"")</f>
        <v/>
      </c>
      <c r="I18" s="50" t="inlineStr">
        <is>
          <t>General</t>
        </is>
      </c>
      <c r="J18" s="50" t="inlineStr">
        <is>
          <t>Alpha Cover</t>
        </is>
      </c>
      <c r="K18" s="54" t="inlineStr">
        <is>
          <t>General Plus</t>
        </is>
      </c>
      <c r="L18" s="55" t="n">
        <v>148700</v>
      </c>
      <c r="M18" s="56" t="inlineStr">
        <is>
          <t>Inforce</t>
        </is>
      </c>
      <c r="N18" s="57" t="n">
        <v>18</v>
      </c>
      <c r="O18" s="40" t="inlineStr">
        <is>
          <t>Dashboard sample data / 仪表板示例数据</t>
        </is>
      </c>
    </row>
    <row r="19" ht="15" customHeight="1" s="34">
      <c r="A19" s="46" t="n">
        <v>46174</v>
      </c>
      <c r="B19" s="39">
        <f>IF(A19="","",TEXT(A19,"mmm"))</f>
        <v/>
      </c>
      <c r="C19" s="39" t="inlineStr">
        <is>
          <t>ORD-2026-06-S003</t>
        </is>
      </c>
      <c r="D19" s="40" t="inlineStr">
        <is>
          <t>Sample Client - Marcus Lee - Jun</t>
        </is>
      </c>
      <c r="E19" s="39" t="inlineStr">
        <is>
          <t>S003</t>
        </is>
      </c>
      <c r="F19" s="39">
        <f>IFERROR(INDEX(销售员主数据!$B$2:$B$101,MATCH($E19,销售员主数据!$A$2:$A$101,0)),"")</f>
        <v/>
      </c>
      <c r="G19" s="39">
        <f>IFERROR(INDEX(销售员主数据!$C$2:$C$101,MATCH($E19,销售员主数据!$A$2:$A$101,0)),"")</f>
        <v/>
      </c>
      <c r="H19" s="39">
        <f>IFERROR(INDEX(销售员主数据!$D$2:$D$101,MATCH($E19,销售员主数据!$A$2:$A$101,0)),"")</f>
        <v/>
      </c>
      <c r="I19" s="50" t="inlineStr">
        <is>
          <t>General</t>
        </is>
      </c>
      <c r="J19" s="50" t="inlineStr">
        <is>
          <t>Alpha Cover</t>
        </is>
      </c>
      <c r="K19" s="54" t="inlineStr">
        <is>
          <t>General Plus</t>
        </is>
      </c>
      <c r="L19" s="55" t="n">
        <v>159200</v>
      </c>
      <c r="M19" s="56" t="inlineStr">
        <is>
          <t>Submitted</t>
        </is>
      </c>
      <c r="N19" s="57" t="n">
        <v>19</v>
      </c>
      <c r="O19" s="40" t="inlineStr">
        <is>
          <t>Dashboard sample data / 仪表板示例数据</t>
        </is>
      </c>
    </row>
    <row r="20" ht="15" customHeight="1" s="34">
      <c r="A20" s="46" t="n">
        <v>46023</v>
      </c>
      <c r="B20" s="39">
        <f>IF(A20="","",TEXT(A20,"mmm"))</f>
        <v/>
      </c>
      <c r="C20" s="39" t="inlineStr">
        <is>
          <t>ORD-2026-01-S004</t>
        </is>
      </c>
      <c r="D20" s="40" t="inlineStr">
        <is>
          <t>Sample Client - Farah Noor - Jan</t>
        </is>
      </c>
      <c r="E20" s="39" t="inlineStr">
        <is>
          <t>S004</t>
        </is>
      </c>
      <c r="F20" s="39">
        <f>IFERROR(INDEX(销售员主数据!$B$2:$B$101,MATCH($E20,销售员主数据!$A$2:$A$101,0)),"")</f>
        <v/>
      </c>
      <c r="G20" s="39">
        <f>IFERROR(INDEX(销售员主数据!$C$2:$C$101,MATCH($E20,销售员主数据!$A$2:$A$101,0)),"")</f>
        <v/>
      </c>
      <c r="H20" s="39">
        <f>IFERROR(INDEX(销售员主数据!$D$2:$D$101,MATCH($E20,销售员主数据!$A$2:$A$101,0)),"")</f>
        <v/>
      </c>
      <c r="I20" s="50" t="inlineStr">
        <is>
          <t>Life</t>
        </is>
      </c>
      <c r="J20" s="50" t="inlineStr">
        <is>
          <t>Melaka Partners</t>
        </is>
      </c>
      <c r="K20" s="54" t="inlineStr">
        <is>
          <t>Family Life</t>
        </is>
      </c>
      <c r="L20" s="55" t="n">
        <v>66400</v>
      </c>
      <c r="M20" s="56" t="inlineStr">
        <is>
          <t>Inforce</t>
        </is>
      </c>
      <c r="N20" s="57" t="n">
        <v>10</v>
      </c>
      <c r="O20" s="40" t="inlineStr">
        <is>
          <t>Dashboard sample data / 仪表板示例数据</t>
        </is>
      </c>
    </row>
    <row r="21" ht="15" customHeight="1" s="34">
      <c r="A21" s="46" t="n">
        <v>46054</v>
      </c>
      <c r="B21" s="39">
        <f>IF(A21="","",TEXT(A21,"mmm"))</f>
        <v/>
      </c>
      <c r="C21" s="39" t="inlineStr">
        <is>
          <t>ORD-2026-02-S004</t>
        </is>
      </c>
      <c r="D21" s="40" t="inlineStr">
        <is>
          <t>Sample Client - Farah Noor - Feb</t>
        </is>
      </c>
      <c r="E21" s="39" t="inlineStr">
        <is>
          <t>S004</t>
        </is>
      </c>
      <c r="F21" s="39">
        <f>IFERROR(INDEX(销售员主数据!$B$2:$B$101,MATCH($E21,销售员主数据!$A$2:$A$101,0)),"")</f>
        <v/>
      </c>
      <c r="G21" s="39">
        <f>IFERROR(INDEX(销售员主数据!$C$2:$C$101,MATCH($E21,销售员主数据!$A$2:$A$101,0)),"")</f>
        <v/>
      </c>
      <c r="H21" s="39">
        <f>IFERROR(INDEX(销售员主数据!$D$2:$D$101,MATCH($E21,销售员主数据!$A$2:$A$101,0)),"")</f>
        <v/>
      </c>
      <c r="I21" s="50" t="inlineStr">
        <is>
          <t>Life</t>
        </is>
      </c>
      <c r="J21" s="50" t="inlineStr">
        <is>
          <t>Melaka Partners</t>
        </is>
      </c>
      <c r="K21" s="54" t="inlineStr">
        <is>
          <t>Family Life</t>
        </is>
      </c>
      <c r="L21" s="55" t="n">
        <v>81200</v>
      </c>
      <c r="M21" s="56" t="inlineStr">
        <is>
          <t>Inforce</t>
        </is>
      </c>
      <c r="N21" s="57" t="n">
        <v>11</v>
      </c>
      <c r="O21" s="40" t="inlineStr">
        <is>
          <t>Dashboard sample data / 仪表板示例数据</t>
        </is>
      </c>
    </row>
    <row r="22" ht="15" customHeight="1" s="34">
      <c r="A22" s="46" t="n">
        <v>46082</v>
      </c>
      <c r="B22" s="39">
        <f>IF(A22="","",TEXT(A22,"mmm"))</f>
        <v/>
      </c>
      <c r="C22" s="39" t="inlineStr">
        <is>
          <t>ORD-2026-03-S004</t>
        </is>
      </c>
      <c r="D22" s="40" t="inlineStr">
        <is>
          <t>Sample Client - Farah Noor - Mar</t>
        </is>
      </c>
      <c r="E22" s="39" t="inlineStr">
        <is>
          <t>S004</t>
        </is>
      </c>
      <c r="F22" s="39">
        <f>IFERROR(INDEX(销售员主数据!$B$2:$B$101,MATCH($E22,销售员主数据!$A$2:$A$101,0)),"")</f>
        <v/>
      </c>
      <c r="G22" s="39">
        <f>IFERROR(INDEX(销售员主数据!$C$2:$C$101,MATCH($E22,销售员主数据!$A$2:$A$101,0)),"")</f>
        <v/>
      </c>
      <c r="H22" s="39">
        <f>IFERROR(INDEX(销售员主数据!$D$2:$D$101,MATCH($E22,销售员主数据!$A$2:$A$101,0)),"")</f>
        <v/>
      </c>
      <c r="I22" s="50" t="inlineStr">
        <is>
          <t>Life</t>
        </is>
      </c>
      <c r="J22" s="50" t="inlineStr">
        <is>
          <t>Melaka Partners</t>
        </is>
      </c>
      <c r="K22" s="54" t="inlineStr">
        <is>
          <t>Family Life</t>
        </is>
      </c>
      <c r="L22" s="55" t="n">
        <v>101600</v>
      </c>
      <c r="M22" s="56" t="inlineStr">
        <is>
          <t>Inforce</t>
        </is>
      </c>
      <c r="N22" s="57" t="n">
        <v>14</v>
      </c>
      <c r="O22" s="40" t="inlineStr">
        <is>
          <t>Dashboard sample data / 仪表板示例数据</t>
        </is>
      </c>
    </row>
    <row r="23" ht="15" customHeight="1" s="34">
      <c r="A23" s="46" t="n">
        <v>46113</v>
      </c>
      <c r="B23" s="39">
        <f>IF(A23="","",TEXT(A23,"mmm"))</f>
        <v/>
      </c>
      <c r="C23" s="39" t="inlineStr">
        <is>
          <t>ORD-2026-04-S004</t>
        </is>
      </c>
      <c r="D23" s="40" t="inlineStr">
        <is>
          <t>Sample Client - Farah Noor - Apr</t>
        </is>
      </c>
      <c r="E23" s="39" t="inlineStr">
        <is>
          <t>S004</t>
        </is>
      </c>
      <c r="F23" s="39">
        <f>IFERROR(INDEX(销售员主数据!$B$2:$B$101,MATCH($E23,销售员主数据!$A$2:$A$101,0)),"")</f>
        <v/>
      </c>
      <c r="G23" s="39">
        <f>IFERROR(INDEX(销售员主数据!$C$2:$C$101,MATCH($E23,销售员主数据!$A$2:$A$101,0)),"")</f>
        <v/>
      </c>
      <c r="H23" s="39">
        <f>IFERROR(INDEX(销售员主数据!$D$2:$D$101,MATCH($E23,销售员主数据!$A$2:$A$101,0)),"")</f>
        <v/>
      </c>
      <c r="I23" s="50" t="inlineStr">
        <is>
          <t>Life</t>
        </is>
      </c>
      <c r="J23" s="50" t="inlineStr">
        <is>
          <t>Melaka Partners</t>
        </is>
      </c>
      <c r="K23" s="54" t="inlineStr">
        <is>
          <t>Family Life</t>
        </is>
      </c>
      <c r="L23" s="55" t="n">
        <v>116500</v>
      </c>
      <c r="M23" s="56" t="inlineStr">
        <is>
          <t>Inforce</t>
        </is>
      </c>
      <c r="N23" s="57" t="n">
        <v>15</v>
      </c>
      <c r="O23" s="40" t="inlineStr">
        <is>
          <t>Dashboard sample data / 仪表板示例数据</t>
        </is>
      </c>
    </row>
    <row r="24" ht="15" customHeight="1" s="34">
      <c r="A24" s="46" t="n">
        <v>46143</v>
      </c>
      <c r="B24" s="39">
        <f>IF(A24="","",TEXT(A24,"mmm"))</f>
        <v/>
      </c>
      <c r="C24" s="39" t="inlineStr">
        <is>
          <t>ORD-2026-05-S004</t>
        </is>
      </c>
      <c r="D24" s="40" t="inlineStr">
        <is>
          <t>Sample Client - Farah Noor - May</t>
        </is>
      </c>
      <c r="E24" s="39" t="inlineStr">
        <is>
          <t>S004</t>
        </is>
      </c>
      <c r="F24" s="39">
        <f>IFERROR(INDEX(销售员主数据!$B$2:$B$101,MATCH($E24,销售员主数据!$A$2:$A$101,0)),"")</f>
        <v/>
      </c>
      <c r="G24" s="39">
        <f>IFERROR(INDEX(销售员主数据!$C$2:$C$101,MATCH($E24,销售员主数据!$A$2:$A$101,0)),"")</f>
        <v/>
      </c>
      <c r="H24" s="39">
        <f>IFERROR(INDEX(销售员主数据!$D$2:$D$101,MATCH($E24,销售员主数据!$A$2:$A$101,0)),"")</f>
        <v/>
      </c>
      <c r="I24" s="50" t="inlineStr">
        <is>
          <t>Life</t>
        </is>
      </c>
      <c r="J24" s="50" t="inlineStr">
        <is>
          <t>Melaka Partners</t>
        </is>
      </c>
      <c r="K24" s="54" t="inlineStr">
        <is>
          <t>Family Life</t>
        </is>
      </c>
      <c r="L24" s="55" t="n">
        <v>134900</v>
      </c>
      <c r="M24" s="56" t="inlineStr">
        <is>
          <t>Submitted</t>
        </is>
      </c>
      <c r="N24" s="57" t="n">
        <v>17</v>
      </c>
      <c r="O24" s="40" t="inlineStr">
        <is>
          <t>Dashboard sample data / 仪表板示例数据</t>
        </is>
      </c>
    </row>
    <row r="25" ht="15" customHeight="1" s="34">
      <c r="A25" s="46" t="n">
        <v>46174</v>
      </c>
      <c r="B25" s="39">
        <f>IF(A25="","",TEXT(A25,"mmm"))</f>
        <v/>
      </c>
      <c r="C25" s="39" t="inlineStr">
        <is>
          <t>ORD-2026-06-S004</t>
        </is>
      </c>
      <c r="D25" s="40" t="inlineStr">
        <is>
          <t>Sample Client - Farah Noor - Jun</t>
        </is>
      </c>
      <c r="E25" s="39" t="inlineStr">
        <is>
          <t>S004</t>
        </is>
      </c>
      <c r="F25" s="39">
        <f>IFERROR(INDEX(销售员主数据!$B$2:$B$101,MATCH($E25,销售员主数据!$A$2:$A$101,0)),"")</f>
        <v/>
      </c>
      <c r="G25" s="39">
        <f>IFERROR(INDEX(销售员主数据!$C$2:$C$101,MATCH($E25,销售员主数据!$A$2:$A$101,0)),"")</f>
        <v/>
      </c>
      <c r="H25" s="39">
        <f>IFERROR(INDEX(销售员主数据!$D$2:$D$101,MATCH($E25,销售员主数据!$A$2:$A$101,0)),"")</f>
        <v/>
      </c>
      <c r="I25" s="50" t="inlineStr">
        <is>
          <t>Life</t>
        </is>
      </c>
      <c r="J25" s="50" t="inlineStr">
        <is>
          <t>Melaka Partners</t>
        </is>
      </c>
      <c r="K25" s="54" t="inlineStr">
        <is>
          <t>Family Life</t>
        </is>
      </c>
      <c r="L25" s="55" t="n">
        <v>147600</v>
      </c>
      <c r="M25" s="56" t="inlineStr">
        <is>
          <t>Submitted</t>
        </is>
      </c>
      <c r="N25" s="57" t="n">
        <v>18</v>
      </c>
      <c r="O25" s="40" t="inlineStr">
        <is>
          <t>Dashboard sample data / 仪表板示例数据</t>
        </is>
      </c>
    </row>
    <row r="26" ht="15" customHeight="1" s="34">
      <c r="A26" s="46" t="n">
        <v>46023</v>
      </c>
      <c r="B26" s="39">
        <f>IF(A26="","",TEXT(A26,"mmm"))</f>
        <v/>
      </c>
      <c r="C26" s="39" t="inlineStr">
        <is>
          <t>ORD-2026-01-S005</t>
        </is>
      </c>
      <c r="D26" s="40" t="inlineStr">
        <is>
          <t>Sample Client - Daniel Wong - Jan</t>
        </is>
      </c>
      <c r="E26" s="39" t="inlineStr">
        <is>
          <t>S005</t>
        </is>
      </c>
      <c r="F26" s="39">
        <f>IFERROR(INDEX(销售员主数据!$B$2:$B$101,MATCH($E26,销售员主数据!$A$2:$A$101,0)),"")</f>
        <v/>
      </c>
      <c r="G26" s="39">
        <f>IFERROR(INDEX(销售员主数据!$C$2:$C$101,MATCH($E26,销售员主数据!$A$2:$A$101,0)),"")</f>
        <v/>
      </c>
      <c r="H26" s="39">
        <f>IFERROR(INDEX(销售员主数据!$D$2:$D$101,MATCH($E26,销售员主数据!$A$2:$A$101,0)),"")</f>
        <v/>
      </c>
      <c r="I26" s="50" t="inlineStr">
        <is>
          <t>Others</t>
        </is>
      </c>
      <c r="J26" s="50" t="inlineStr">
        <is>
          <t>Others Source</t>
        </is>
      </c>
      <c r="K26" s="54" t="inlineStr">
        <is>
          <t>Flex Shield</t>
        </is>
      </c>
      <c r="L26" s="55" t="n">
        <v>53800</v>
      </c>
      <c r="M26" s="56" t="inlineStr">
        <is>
          <t>Inforce</t>
        </is>
      </c>
      <c r="N26" s="57" t="n">
        <v>8</v>
      </c>
      <c r="O26" s="40" t="inlineStr">
        <is>
          <t>Dashboard sample data / 仪表板示例数据</t>
        </is>
      </c>
    </row>
    <row r="27" ht="15" customHeight="1" s="34">
      <c r="A27" s="46" t="n">
        <v>46054</v>
      </c>
      <c r="B27" s="39">
        <f>IF(A27="","",TEXT(A27,"mmm"))</f>
        <v/>
      </c>
      <c r="C27" s="39" t="inlineStr">
        <is>
          <t>ORD-2026-02-S005</t>
        </is>
      </c>
      <c r="D27" s="40" t="inlineStr">
        <is>
          <t>Sample Client - Daniel Wong - Feb</t>
        </is>
      </c>
      <c r="E27" s="39" t="inlineStr">
        <is>
          <t>S005</t>
        </is>
      </c>
      <c r="F27" s="39">
        <f>IFERROR(INDEX(销售员主数据!$B$2:$B$101,MATCH($E27,销售员主数据!$A$2:$A$101,0)),"")</f>
        <v/>
      </c>
      <c r="G27" s="39">
        <f>IFERROR(INDEX(销售员主数据!$C$2:$C$101,MATCH($E27,销售员主数据!$A$2:$A$101,0)),"")</f>
        <v/>
      </c>
      <c r="H27" s="39">
        <f>IFERROR(INDEX(销售员主数据!$D$2:$D$101,MATCH($E27,销售员主数据!$A$2:$A$101,0)),"")</f>
        <v/>
      </c>
      <c r="I27" s="50" t="inlineStr">
        <is>
          <t>Others</t>
        </is>
      </c>
      <c r="J27" s="50" t="inlineStr">
        <is>
          <t>Others Source</t>
        </is>
      </c>
      <c r="K27" s="54" t="inlineStr">
        <is>
          <t>Flex Shield</t>
        </is>
      </c>
      <c r="L27" s="55" t="n">
        <v>67700</v>
      </c>
      <c r="M27" s="56" t="inlineStr">
        <is>
          <t>Inforce</t>
        </is>
      </c>
      <c r="N27" s="57" t="n">
        <v>10</v>
      </c>
      <c r="O27" s="40" t="inlineStr">
        <is>
          <t>Dashboard sample data / 仪表板示例数据</t>
        </is>
      </c>
    </row>
    <row r="28" ht="15" customHeight="1" s="34">
      <c r="A28" s="46" t="n">
        <v>46082</v>
      </c>
      <c r="B28" s="39">
        <f>IF(A28="","",TEXT(A28,"mmm"))</f>
        <v/>
      </c>
      <c r="C28" s="39" t="inlineStr">
        <is>
          <t>ORD-2026-03-S005</t>
        </is>
      </c>
      <c r="D28" s="40" t="inlineStr">
        <is>
          <t>Sample Client - Daniel Wong - Mar</t>
        </is>
      </c>
      <c r="E28" s="39" t="inlineStr">
        <is>
          <t>S005</t>
        </is>
      </c>
      <c r="F28" s="39">
        <f>IFERROR(INDEX(销售员主数据!$B$2:$B$101,MATCH($E28,销售员主数据!$A$2:$A$101,0)),"")</f>
        <v/>
      </c>
      <c r="G28" s="39">
        <f>IFERROR(INDEX(销售员主数据!$C$2:$C$101,MATCH($E28,销售员主数据!$A$2:$A$101,0)),"")</f>
        <v/>
      </c>
      <c r="H28" s="39">
        <f>IFERROR(INDEX(销售员主数据!$D$2:$D$101,MATCH($E28,销售员主数据!$A$2:$A$101,0)),"")</f>
        <v/>
      </c>
      <c r="I28" s="50" t="inlineStr">
        <is>
          <t>Others</t>
        </is>
      </c>
      <c r="J28" s="50" t="inlineStr">
        <is>
          <t>Others Source</t>
        </is>
      </c>
      <c r="K28" s="54" t="inlineStr">
        <is>
          <t>Flex Shield</t>
        </is>
      </c>
      <c r="L28" s="55" t="n">
        <v>91400</v>
      </c>
      <c r="M28" s="56" t="inlineStr">
        <is>
          <t>Inforce</t>
        </is>
      </c>
      <c r="N28" s="57" t="n">
        <v>12</v>
      </c>
      <c r="O28" s="40" t="inlineStr">
        <is>
          <t>Dashboard sample data / 仪表板示例数据</t>
        </is>
      </c>
    </row>
    <row r="29" ht="15" customHeight="1" s="34">
      <c r="A29" s="46" t="n">
        <v>46113</v>
      </c>
      <c r="B29" s="39">
        <f>IF(A29="","",TEXT(A29,"mmm"))</f>
        <v/>
      </c>
      <c r="C29" s="39" t="inlineStr">
        <is>
          <t>ORD-2026-04-S005</t>
        </is>
      </c>
      <c r="D29" s="40" t="inlineStr">
        <is>
          <t>Sample Client - Daniel Wong - Apr</t>
        </is>
      </c>
      <c r="E29" s="39" t="inlineStr">
        <is>
          <t>S005</t>
        </is>
      </c>
      <c r="F29" s="39">
        <f>IFERROR(INDEX(销售员主数据!$B$2:$B$101,MATCH($E29,销售员主数据!$A$2:$A$101,0)),"")</f>
        <v/>
      </c>
      <c r="G29" s="39">
        <f>IFERROR(INDEX(销售员主数据!$C$2:$C$101,MATCH($E29,销售员主数据!$A$2:$A$101,0)),"")</f>
        <v/>
      </c>
      <c r="H29" s="39">
        <f>IFERROR(INDEX(销售员主数据!$D$2:$D$101,MATCH($E29,销售员主数据!$A$2:$A$101,0)),"")</f>
        <v/>
      </c>
      <c r="I29" s="50" t="inlineStr">
        <is>
          <t>Others</t>
        </is>
      </c>
      <c r="J29" s="50" t="inlineStr">
        <is>
          <t>Others Source</t>
        </is>
      </c>
      <c r="K29" s="54" t="inlineStr">
        <is>
          <t>Flex Shield</t>
        </is>
      </c>
      <c r="L29" s="55" t="n">
        <v>107200</v>
      </c>
      <c r="M29" s="56" t="inlineStr">
        <is>
          <t>Inforce</t>
        </is>
      </c>
      <c r="N29" s="57" t="n">
        <v>14</v>
      </c>
      <c r="O29" s="40" t="inlineStr">
        <is>
          <t>Dashboard sample data / 仪表板示例数据</t>
        </is>
      </c>
    </row>
    <row r="30" ht="15" customHeight="1" s="34">
      <c r="A30" s="46" t="n">
        <v>46143</v>
      </c>
      <c r="B30" s="39">
        <f>IF(A30="","",TEXT(A30,"mmm"))</f>
        <v/>
      </c>
      <c r="C30" s="39" t="inlineStr">
        <is>
          <t>ORD-2026-05-S005</t>
        </is>
      </c>
      <c r="D30" s="40" t="inlineStr">
        <is>
          <t>Sample Client - Daniel Wong - May</t>
        </is>
      </c>
      <c r="E30" s="39" t="inlineStr">
        <is>
          <t>S005</t>
        </is>
      </c>
      <c r="F30" s="39">
        <f>IFERROR(INDEX(销售员主数据!$B$2:$B$101,MATCH($E30,销售员主数据!$A$2:$A$101,0)),"")</f>
        <v/>
      </c>
      <c r="G30" s="39">
        <f>IFERROR(INDEX(销售员主数据!$C$2:$C$101,MATCH($E30,销售员主数据!$A$2:$A$101,0)),"")</f>
        <v/>
      </c>
      <c r="H30" s="39">
        <f>IFERROR(INDEX(销售员主数据!$D$2:$D$101,MATCH($E30,销售员主数据!$A$2:$A$101,0)),"")</f>
        <v/>
      </c>
      <c r="I30" s="50" t="inlineStr">
        <is>
          <t>Others</t>
        </is>
      </c>
      <c r="J30" s="50" t="inlineStr">
        <is>
          <t>Others Source</t>
        </is>
      </c>
      <c r="K30" s="54" t="inlineStr">
        <is>
          <t>Flex Shield</t>
        </is>
      </c>
      <c r="L30" s="55" t="n">
        <v>125800</v>
      </c>
      <c r="M30" s="56" t="inlineStr">
        <is>
          <t>Submitted</t>
        </is>
      </c>
      <c r="N30" s="57" t="n">
        <v>15</v>
      </c>
      <c r="O30" s="40" t="inlineStr">
        <is>
          <t>Dashboard sample data / 仪表板示例数据</t>
        </is>
      </c>
    </row>
    <row r="31" ht="15" customHeight="1" s="34">
      <c r="A31" s="46" t="n">
        <v>46174</v>
      </c>
      <c r="B31" s="39">
        <f>IF(A31="","",TEXT(A31,"mmm"))</f>
        <v/>
      </c>
      <c r="C31" s="39" t="inlineStr">
        <is>
          <t>ORD-2026-06-S005</t>
        </is>
      </c>
      <c r="D31" s="40" t="inlineStr">
        <is>
          <t>Sample Client - Daniel Wong - Jun</t>
        </is>
      </c>
      <c r="E31" s="39" t="inlineStr">
        <is>
          <t>S005</t>
        </is>
      </c>
      <c r="F31" s="39">
        <f>IFERROR(INDEX(销售员主数据!$B$2:$B$101,MATCH($E31,销售员主数据!$A$2:$A$101,0)),"")</f>
        <v/>
      </c>
      <c r="G31" s="39">
        <f>IFERROR(INDEX(销售员主数据!$C$2:$C$101,MATCH($E31,销售员主数据!$A$2:$A$101,0)),"")</f>
        <v/>
      </c>
      <c r="H31" s="39">
        <f>IFERROR(INDEX(销售员主数据!$D$2:$D$101,MATCH($E31,销售员主数据!$A$2:$A$101,0)),"")</f>
        <v/>
      </c>
      <c r="I31" s="50" t="inlineStr">
        <is>
          <t>Others</t>
        </is>
      </c>
      <c r="J31" s="50" t="inlineStr">
        <is>
          <t>Others Source</t>
        </is>
      </c>
      <c r="K31" s="54" t="inlineStr">
        <is>
          <t>Flex Shield</t>
        </is>
      </c>
      <c r="L31" s="55" t="n">
        <v>138500</v>
      </c>
      <c r="M31" s="56" t="inlineStr">
        <is>
          <t>Submitted</t>
        </is>
      </c>
      <c r="N31" s="57" t="n">
        <v>16</v>
      </c>
      <c r="O31" s="40" t="inlineStr">
        <is>
          <t>Dashboard sample data / 仪表板示例数据</t>
        </is>
      </c>
    </row>
    <row r="32" ht="15" customHeight="1" s="34">
      <c r="A32" s="46" t="n">
        <v>46023</v>
      </c>
      <c r="B32" s="39">
        <f>IF(A32="","",TEXT(A32,"mmm"))</f>
        <v/>
      </c>
      <c r="C32" s="39" t="inlineStr">
        <is>
          <t>ORD-2026-01-S006</t>
        </is>
      </c>
      <c r="D32" s="40" t="inlineStr">
        <is>
          <t>Sample Client - Nadia Ong - Jan</t>
        </is>
      </c>
      <c r="E32" s="39" t="inlineStr">
        <is>
          <t>S006</t>
        </is>
      </c>
      <c r="F32" s="39">
        <f>IFERROR(INDEX(销售员主数据!$B$2:$B$101,MATCH($E32,销售员主数据!$A$2:$A$101,0)),"")</f>
        <v/>
      </c>
      <c r="G32" s="39">
        <f>IFERROR(INDEX(销售员主数据!$C$2:$C$101,MATCH($E32,销售员主数据!$A$2:$A$101,0)),"")</f>
        <v/>
      </c>
      <c r="H32" s="39">
        <f>IFERROR(INDEX(销售员主数据!$D$2:$D$101,MATCH($E32,销售员主数据!$A$2:$A$101,0)),"")</f>
        <v/>
      </c>
      <c r="I32" s="50" t="inlineStr">
        <is>
          <t>SSS</t>
        </is>
      </c>
      <c r="J32" s="50" t="inlineStr">
        <is>
          <t>SSS Direct</t>
        </is>
      </c>
      <c r="K32" s="54" t="inlineStr">
        <is>
          <t>SSS Starter</t>
        </is>
      </c>
      <c r="L32" s="55" t="n">
        <v>47200</v>
      </c>
      <c r="M32" s="56" t="inlineStr">
        <is>
          <t>Inforce</t>
        </is>
      </c>
      <c r="N32" s="57" t="n">
        <v>7</v>
      </c>
      <c r="O32" s="40" t="inlineStr">
        <is>
          <t>Dashboard sample data / 仪表板示例数据</t>
        </is>
      </c>
    </row>
    <row r="33" ht="15" customHeight="1" s="34">
      <c r="A33" s="46" t="n">
        <v>46054</v>
      </c>
      <c r="B33" s="39">
        <f>IF(A33="","",TEXT(A33,"mmm"))</f>
        <v/>
      </c>
      <c r="C33" s="39" t="inlineStr">
        <is>
          <t>ORD-2026-02-S006</t>
        </is>
      </c>
      <c r="D33" s="40" t="inlineStr">
        <is>
          <t>Sample Client - Nadia Ong - Feb</t>
        </is>
      </c>
      <c r="E33" s="39" t="inlineStr">
        <is>
          <t>S006</t>
        </is>
      </c>
      <c r="F33" s="39">
        <f>IFERROR(INDEX(销售员主数据!$B$2:$B$101,MATCH($E33,销售员主数据!$A$2:$A$101,0)),"")</f>
        <v/>
      </c>
      <c r="G33" s="39">
        <f>IFERROR(INDEX(销售员主数据!$C$2:$C$101,MATCH($E33,销售员主数据!$A$2:$A$101,0)),"")</f>
        <v/>
      </c>
      <c r="H33" s="39">
        <f>IFERROR(INDEX(销售员主数据!$D$2:$D$101,MATCH($E33,销售员主数据!$A$2:$A$101,0)),"")</f>
        <v/>
      </c>
      <c r="I33" s="50" t="inlineStr">
        <is>
          <t>SSS</t>
        </is>
      </c>
      <c r="J33" s="50" t="inlineStr">
        <is>
          <t>SSS Direct</t>
        </is>
      </c>
      <c r="K33" s="54" t="inlineStr">
        <is>
          <t>SSS Starter</t>
        </is>
      </c>
      <c r="L33" s="55" t="n">
        <v>61700</v>
      </c>
      <c r="M33" s="56" t="inlineStr">
        <is>
          <t>Inforce</t>
        </is>
      </c>
      <c r="N33" s="57" t="n">
        <v>9</v>
      </c>
      <c r="O33" s="40" t="inlineStr">
        <is>
          <t>Dashboard sample data / 仪表板示例数据</t>
        </is>
      </c>
    </row>
    <row r="34" ht="15" customHeight="1" s="34">
      <c r="A34" s="46" t="n">
        <v>46082</v>
      </c>
      <c r="B34" s="39">
        <f>IF(A34="","",TEXT(A34,"mmm"))</f>
        <v/>
      </c>
      <c r="C34" s="39" t="inlineStr">
        <is>
          <t>ORD-2026-03-S006</t>
        </is>
      </c>
      <c r="D34" s="40" t="inlineStr">
        <is>
          <t>Sample Client - Nadia Ong - Mar</t>
        </is>
      </c>
      <c r="E34" s="39" t="inlineStr">
        <is>
          <t>S006</t>
        </is>
      </c>
      <c r="F34" s="39">
        <f>IFERROR(INDEX(销售员主数据!$B$2:$B$101,MATCH($E34,销售员主数据!$A$2:$A$101,0)),"")</f>
        <v/>
      </c>
      <c r="G34" s="39">
        <f>IFERROR(INDEX(销售员主数据!$C$2:$C$101,MATCH($E34,销售员主数据!$A$2:$A$101,0)),"")</f>
        <v/>
      </c>
      <c r="H34" s="39">
        <f>IFERROR(INDEX(销售员主数据!$D$2:$D$101,MATCH($E34,销售员主数据!$A$2:$A$101,0)),"")</f>
        <v/>
      </c>
      <c r="I34" s="50" t="inlineStr">
        <is>
          <t>SSS</t>
        </is>
      </c>
      <c r="J34" s="50" t="inlineStr">
        <is>
          <t>SSS Direct</t>
        </is>
      </c>
      <c r="K34" s="54" t="inlineStr">
        <is>
          <t>SSS Starter</t>
        </is>
      </c>
      <c r="L34" s="55" t="n">
        <v>82900</v>
      </c>
      <c r="M34" s="56" t="inlineStr">
        <is>
          <t>Inforce</t>
        </is>
      </c>
      <c r="N34" s="57" t="n">
        <v>11</v>
      </c>
      <c r="O34" s="40" t="inlineStr">
        <is>
          <t>Dashboard sample data / 仪表板示例数据</t>
        </is>
      </c>
    </row>
    <row r="35" ht="15" customHeight="1" s="34">
      <c r="A35" s="46" t="n">
        <v>46113</v>
      </c>
      <c r="B35" s="39">
        <f>IF(A35="","",TEXT(A35,"mmm"))</f>
        <v/>
      </c>
      <c r="C35" s="39" t="inlineStr">
        <is>
          <t>ORD-2026-04-S006</t>
        </is>
      </c>
      <c r="D35" s="40" t="inlineStr">
        <is>
          <t>Sample Client - Nadia Ong - Apr</t>
        </is>
      </c>
      <c r="E35" s="39" t="inlineStr">
        <is>
          <t>S006</t>
        </is>
      </c>
      <c r="F35" s="39">
        <f>IFERROR(INDEX(销售员主数据!$B$2:$B$101,MATCH($E35,销售员主数据!$A$2:$A$101,0)),"")</f>
        <v/>
      </c>
      <c r="G35" s="39">
        <f>IFERROR(INDEX(销售员主数据!$C$2:$C$101,MATCH($E35,销售员主数据!$A$2:$A$101,0)),"")</f>
        <v/>
      </c>
      <c r="H35" s="39">
        <f>IFERROR(INDEX(销售员主数据!$D$2:$D$101,MATCH($E35,销售员主数据!$A$2:$A$101,0)),"")</f>
        <v/>
      </c>
      <c r="I35" s="50" t="inlineStr">
        <is>
          <t>SSS</t>
        </is>
      </c>
      <c r="J35" s="50" t="inlineStr">
        <is>
          <t>SSS Direct</t>
        </is>
      </c>
      <c r="K35" s="54" t="inlineStr">
        <is>
          <t>SSS Starter</t>
        </is>
      </c>
      <c r="L35" s="55" t="n">
        <v>95800</v>
      </c>
      <c r="M35" s="56" t="inlineStr">
        <is>
          <t>Inforce</t>
        </is>
      </c>
      <c r="N35" s="57" t="n">
        <v>12</v>
      </c>
      <c r="O35" s="40" t="inlineStr">
        <is>
          <t>Dashboard sample data / 仪表板示例数据</t>
        </is>
      </c>
    </row>
    <row r="36" ht="15" customHeight="1" s="34">
      <c r="A36" s="46" t="n">
        <v>46143</v>
      </c>
      <c r="B36" s="39">
        <f>IF(A36="","",TEXT(A36,"mmm"))</f>
        <v/>
      </c>
      <c r="C36" s="39" t="inlineStr">
        <is>
          <t>ORD-2026-05-S006</t>
        </is>
      </c>
      <c r="D36" s="40" t="inlineStr">
        <is>
          <t>Sample Client - Nadia Ong - May</t>
        </is>
      </c>
      <c r="E36" s="39" t="inlineStr">
        <is>
          <t>S006</t>
        </is>
      </c>
      <c r="F36" s="39">
        <f>IFERROR(INDEX(销售员主数据!$B$2:$B$101,MATCH($E36,销售员主数据!$A$2:$A$101,0)),"")</f>
        <v/>
      </c>
      <c r="G36" s="39">
        <f>IFERROR(INDEX(销售员主数据!$C$2:$C$101,MATCH($E36,销售员主数据!$A$2:$A$101,0)),"")</f>
        <v/>
      </c>
      <c r="H36" s="39">
        <f>IFERROR(INDEX(销售员主数据!$D$2:$D$101,MATCH($E36,销售员主数据!$A$2:$A$101,0)),"")</f>
        <v/>
      </c>
      <c r="I36" s="50" t="inlineStr">
        <is>
          <t>SSS</t>
        </is>
      </c>
      <c r="J36" s="50" t="inlineStr">
        <is>
          <t>SSS Direct</t>
        </is>
      </c>
      <c r="K36" s="54" t="inlineStr">
        <is>
          <t>SSS Starter</t>
        </is>
      </c>
      <c r="L36" s="55" t="n">
        <v>111900</v>
      </c>
      <c r="M36" s="56" t="inlineStr">
        <is>
          <t>Submitted</t>
        </is>
      </c>
      <c r="N36" s="57" t="n">
        <v>14</v>
      </c>
      <c r="O36" s="40" t="inlineStr">
        <is>
          <t>Dashboard sample data / 仪表板示例数据</t>
        </is>
      </c>
    </row>
    <row r="37" ht="15" customHeight="1" s="34">
      <c r="A37" s="46" t="n">
        <v>46174</v>
      </c>
      <c r="B37" s="39">
        <f>IF(A37="","",TEXT(A37,"mmm"))</f>
        <v/>
      </c>
      <c r="C37" s="39" t="inlineStr">
        <is>
          <t>ORD-2026-06-S006</t>
        </is>
      </c>
      <c r="D37" s="40" t="inlineStr">
        <is>
          <t>Sample Client - Nadia Ong - Jun</t>
        </is>
      </c>
      <c r="E37" s="39" t="inlineStr">
        <is>
          <t>S006</t>
        </is>
      </c>
      <c r="F37" s="39">
        <f>IFERROR(INDEX(销售员主数据!$B$2:$B$101,MATCH($E37,销售员主数据!$A$2:$A$101,0)),"")</f>
        <v/>
      </c>
      <c r="G37" s="39">
        <f>IFERROR(INDEX(销售员主数据!$C$2:$C$101,MATCH($E37,销售员主数据!$A$2:$A$101,0)),"")</f>
        <v/>
      </c>
      <c r="H37" s="39">
        <f>IFERROR(INDEX(销售员主数据!$D$2:$D$101,MATCH($E37,销售员主数据!$A$2:$A$101,0)),"")</f>
        <v/>
      </c>
      <c r="I37" s="50" t="inlineStr">
        <is>
          <t>SSS</t>
        </is>
      </c>
      <c r="J37" s="50" t="inlineStr">
        <is>
          <t>SSS Direct</t>
        </is>
      </c>
      <c r="K37" s="54" t="inlineStr">
        <is>
          <t>SSS Starter</t>
        </is>
      </c>
      <c r="L37" s="55" t="n">
        <v>120400</v>
      </c>
      <c r="M37" s="56" t="inlineStr">
        <is>
          <t>Submitted</t>
        </is>
      </c>
      <c r="N37" s="57" t="n">
        <v>15</v>
      </c>
      <c r="O37" s="40" t="inlineStr">
        <is>
          <t>Dashboard sample data / 仪表板示例数据</t>
        </is>
      </c>
    </row>
    <row r="38" ht="15" customHeight="1" s="34">
      <c r="A38" s="46" t="n">
        <v>46023</v>
      </c>
      <c r="B38" s="39">
        <f>IF(A38="","",TEXT(A38,"mmm"))</f>
        <v/>
      </c>
      <c r="C38" s="39" t="inlineStr">
        <is>
          <t>ORD-2026-01-S007</t>
        </is>
      </c>
      <c r="D38" s="40" t="inlineStr">
        <is>
          <t>Sample Client - Hafiz Rahman - Jan</t>
        </is>
      </c>
      <c r="E38" s="39" t="inlineStr">
        <is>
          <t>S007</t>
        </is>
      </c>
      <c r="F38" s="39">
        <f>IFERROR(INDEX(销售员主数据!$B$2:$B$101,MATCH($E38,销售员主数据!$A$2:$A$101,0)),"")</f>
        <v/>
      </c>
      <c r="G38" s="39">
        <f>IFERROR(INDEX(销售员主数据!$C$2:$C$101,MATCH($E38,销售员主数据!$A$2:$A$101,0)),"")</f>
        <v/>
      </c>
      <c r="H38" s="39">
        <f>IFERROR(INDEX(销售员主数据!$D$2:$D$101,MATCH($E38,销售员主数据!$A$2:$A$101,0)),"")</f>
        <v/>
      </c>
      <c r="I38" s="50" t="inlineStr">
        <is>
          <t>SSS</t>
        </is>
      </c>
      <c r="J38" s="50" t="inlineStr">
        <is>
          <t>SSS Direct</t>
        </is>
      </c>
      <c r="K38" s="54" t="inlineStr">
        <is>
          <t>SSS Premier</t>
        </is>
      </c>
      <c r="L38" s="55" t="n">
        <v>42100</v>
      </c>
      <c r="M38" s="56" t="inlineStr">
        <is>
          <t>Inforce</t>
        </is>
      </c>
      <c r="N38" s="57" t="n">
        <v>6</v>
      </c>
      <c r="O38" s="40" t="inlineStr">
        <is>
          <t>Dashboard sample data / 仪表板示例数据</t>
        </is>
      </c>
    </row>
    <row r="39" ht="15" customHeight="1" s="34">
      <c r="A39" s="46" t="n">
        <v>46054</v>
      </c>
      <c r="B39" s="39">
        <f>IF(A39="","",TEXT(A39,"mmm"))</f>
        <v/>
      </c>
      <c r="C39" s="39" t="inlineStr">
        <is>
          <t>ORD-2026-02-S007</t>
        </is>
      </c>
      <c r="D39" s="40" t="inlineStr">
        <is>
          <t>Sample Client - Hafiz Rahman - Feb</t>
        </is>
      </c>
      <c r="E39" s="39" t="inlineStr">
        <is>
          <t>S007</t>
        </is>
      </c>
      <c r="F39" s="39">
        <f>IFERROR(INDEX(销售员主数据!$B$2:$B$101,MATCH($E39,销售员主数据!$A$2:$A$101,0)),"")</f>
        <v/>
      </c>
      <c r="G39" s="39">
        <f>IFERROR(INDEX(销售员主数据!$C$2:$C$101,MATCH($E39,销售员主数据!$A$2:$A$101,0)),"")</f>
        <v/>
      </c>
      <c r="H39" s="39">
        <f>IFERROR(INDEX(销售员主数据!$D$2:$D$101,MATCH($E39,销售员主数据!$A$2:$A$101,0)),"")</f>
        <v/>
      </c>
      <c r="I39" s="50" t="inlineStr">
        <is>
          <t>SSS</t>
        </is>
      </c>
      <c r="J39" s="50" t="inlineStr">
        <is>
          <t>SSS Direct</t>
        </is>
      </c>
      <c r="K39" s="54" t="inlineStr">
        <is>
          <t>SSS Premier</t>
        </is>
      </c>
      <c r="L39" s="55" t="n">
        <v>59300</v>
      </c>
      <c r="M39" s="56" t="inlineStr">
        <is>
          <t>Inforce</t>
        </is>
      </c>
      <c r="N39" s="57" t="n">
        <v>8</v>
      </c>
      <c r="O39" s="40" t="inlineStr">
        <is>
          <t>Dashboard sample data / 仪表板示例数据</t>
        </is>
      </c>
    </row>
    <row r="40" ht="15" customHeight="1" s="34">
      <c r="A40" s="46" t="n">
        <v>46082</v>
      </c>
      <c r="B40" s="39">
        <f>IF(A40="","",TEXT(A40,"mmm"))</f>
        <v/>
      </c>
      <c r="C40" s="39" t="inlineStr">
        <is>
          <t>ORD-2026-03-S007</t>
        </is>
      </c>
      <c r="D40" s="40" t="inlineStr">
        <is>
          <t>Sample Client - Hafiz Rahman - Mar</t>
        </is>
      </c>
      <c r="E40" s="39" t="inlineStr">
        <is>
          <t>S007</t>
        </is>
      </c>
      <c r="F40" s="39">
        <f>IFERROR(INDEX(销售员主数据!$B$2:$B$101,MATCH($E40,销售员主数据!$A$2:$A$101,0)),"")</f>
        <v/>
      </c>
      <c r="G40" s="39">
        <f>IFERROR(INDEX(销售员主数据!$C$2:$C$101,MATCH($E40,销售员主数据!$A$2:$A$101,0)),"")</f>
        <v/>
      </c>
      <c r="H40" s="39">
        <f>IFERROR(INDEX(销售员主数据!$D$2:$D$101,MATCH($E40,销售员主数据!$A$2:$A$101,0)),"")</f>
        <v/>
      </c>
      <c r="I40" s="50" t="inlineStr">
        <is>
          <t>SSS</t>
        </is>
      </c>
      <c r="J40" s="50" t="inlineStr">
        <is>
          <t>SSS Direct</t>
        </is>
      </c>
      <c r="K40" s="54" t="inlineStr">
        <is>
          <t>SSS Premier</t>
        </is>
      </c>
      <c r="L40" s="55" t="n">
        <v>80200</v>
      </c>
      <c r="M40" s="56" t="inlineStr">
        <is>
          <t>Inforce</t>
        </is>
      </c>
      <c r="N40" s="57" t="n">
        <v>10</v>
      </c>
      <c r="O40" s="40" t="inlineStr">
        <is>
          <t>Dashboard sample data / 仪表板示例数据</t>
        </is>
      </c>
    </row>
    <row r="41" ht="15" customHeight="1" s="34">
      <c r="A41" s="46" t="n">
        <v>46113</v>
      </c>
      <c r="B41" s="39">
        <f>IF(A41="","",TEXT(A41,"mmm"))</f>
        <v/>
      </c>
      <c r="C41" s="39" t="inlineStr">
        <is>
          <t>ORD-2026-04-S007</t>
        </is>
      </c>
      <c r="D41" s="40" t="inlineStr">
        <is>
          <t>Sample Client - Hafiz Rahman - Apr</t>
        </is>
      </c>
      <c r="E41" s="39" t="inlineStr">
        <is>
          <t>S007</t>
        </is>
      </c>
      <c r="F41" s="39">
        <f>IFERROR(INDEX(销售员主数据!$B$2:$B$101,MATCH($E41,销售员主数据!$A$2:$A$101,0)),"")</f>
        <v/>
      </c>
      <c r="G41" s="39">
        <f>IFERROR(INDEX(销售员主数据!$C$2:$C$101,MATCH($E41,销售员主数据!$A$2:$A$101,0)),"")</f>
        <v/>
      </c>
      <c r="H41" s="39">
        <f>IFERROR(INDEX(销售员主数据!$D$2:$D$101,MATCH($E41,销售员主数据!$A$2:$A$101,0)),"")</f>
        <v/>
      </c>
      <c r="I41" s="50" t="inlineStr">
        <is>
          <t>SSS</t>
        </is>
      </c>
      <c r="J41" s="50" t="inlineStr">
        <is>
          <t>SSS Direct</t>
        </is>
      </c>
      <c r="K41" s="54" t="inlineStr">
        <is>
          <t>SSS Premier</t>
        </is>
      </c>
      <c r="L41" s="55" t="n">
        <v>92300</v>
      </c>
      <c r="M41" s="56" t="inlineStr">
        <is>
          <t>Inforce</t>
        </is>
      </c>
      <c r="N41" s="57" t="n">
        <v>12</v>
      </c>
      <c r="O41" s="40" t="inlineStr">
        <is>
          <t>Dashboard sample data / 仪表板示例数据</t>
        </is>
      </c>
    </row>
    <row r="42" ht="15" customHeight="1" s="34">
      <c r="A42" s="46" t="n">
        <v>46143</v>
      </c>
      <c r="B42" s="39">
        <f>IF(A42="","",TEXT(A42,"mmm"))</f>
        <v/>
      </c>
      <c r="C42" s="39" t="inlineStr">
        <is>
          <t>ORD-2026-05-S007</t>
        </is>
      </c>
      <c r="D42" s="40" t="inlineStr">
        <is>
          <t>Sample Client - Hafiz Rahman - May</t>
        </is>
      </c>
      <c r="E42" s="39" t="inlineStr">
        <is>
          <t>S007</t>
        </is>
      </c>
      <c r="F42" s="39">
        <f>IFERROR(INDEX(销售员主数据!$B$2:$B$101,MATCH($E42,销售员主数据!$A$2:$A$101,0)),"")</f>
        <v/>
      </c>
      <c r="G42" s="39">
        <f>IFERROR(INDEX(销售员主数据!$C$2:$C$101,MATCH($E42,销售员主数据!$A$2:$A$101,0)),"")</f>
        <v/>
      </c>
      <c r="H42" s="39">
        <f>IFERROR(INDEX(销售员主数据!$D$2:$D$101,MATCH($E42,销售员主数据!$A$2:$A$101,0)),"")</f>
        <v/>
      </c>
      <c r="I42" s="50" t="inlineStr">
        <is>
          <t>SSS</t>
        </is>
      </c>
      <c r="J42" s="50" t="inlineStr">
        <is>
          <t>SSS Direct</t>
        </is>
      </c>
      <c r="K42" s="54" t="inlineStr">
        <is>
          <t>SSS Premier</t>
        </is>
      </c>
      <c r="L42" s="55" t="n">
        <v>108500</v>
      </c>
      <c r="M42" s="56" t="inlineStr">
        <is>
          <t>Submitted</t>
        </is>
      </c>
      <c r="N42" s="57" t="n">
        <v>13</v>
      </c>
      <c r="O42" s="40" t="inlineStr">
        <is>
          <t>Dashboard sample data / 仪表板示例数据</t>
        </is>
      </c>
    </row>
    <row r="43" ht="15" customHeight="1" s="34">
      <c r="A43" s="46" t="n">
        <v>46174</v>
      </c>
      <c r="B43" s="39">
        <f>IF(A43="","",TEXT(A43,"mmm"))</f>
        <v/>
      </c>
      <c r="C43" s="39" t="inlineStr">
        <is>
          <t>ORD-2026-06-S007</t>
        </is>
      </c>
      <c r="D43" s="40" t="inlineStr">
        <is>
          <t>Sample Client - Hafiz Rahman - Jun</t>
        </is>
      </c>
      <c r="E43" s="39" t="inlineStr">
        <is>
          <t>S007</t>
        </is>
      </c>
      <c r="F43" s="39">
        <f>IFERROR(INDEX(销售员主数据!$B$2:$B$101,MATCH($E43,销售员主数据!$A$2:$A$101,0)),"")</f>
        <v/>
      </c>
      <c r="G43" s="39">
        <f>IFERROR(INDEX(销售员主数据!$C$2:$C$101,MATCH($E43,销售员主数据!$A$2:$A$101,0)),"")</f>
        <v/>
      </c>
      <c r="H43" s="39">
        <f>IFERROR(INDEX(销售员主数据!$D$2:$D$101,MATCH($E43,销售员主数据!$A$2:$A$101,0)),"")</f>
        <v/>
      </c>
      <c r="I43" s="50" t="inlineStr">
        <is>
          <t>SSS</t>
        </is>
      </c>
      <c r="J43" s="50" t="inlineStr">
        <is>
          <t>SSS Direct</t>
        </is>
      </c>
      <c r="K43" s="54" t="inlineStr">
        <is>
          <t>SSS Premier</t>
        </is>
      </c>
      <c r="L43" s="55" t="n">
        <v>116800</v>
      </c>
      <c r="M43" s="56" t="inlineStr">
        <is>
          <t>Submitted</t>
        </is>
      </c>
      <c r="N43" s="57" t="n">
        <v>14</v>
      </c>
      <c r="O43" s="40" t="inlineStr">
        <is>
          <t>Dashboard sample data / 仪表板示例数据</t>
        </is>
      </c>
    </row>
    <row r="44" ht="15" customHeight="1" s="34">
      <c r="A44" s="46" t="n">
        <v>46023</v>
      </c>
      <c r="B44" s="39">
        <f>IF(A44="","",TEXT(A44,"mmm"))</f>
        <v/>
      </c>
      <c r="C44" s="39" t="inlineStr">
        <is>
          <t>ORD-2026-01-S008</t>
        </is>
      </c>
      <c r="D44" s="40" t="inlineStr">
        <is>
          <t>Sample Client - Kelly Tan - Jan</t>
        </is>
      </c>
      <c r="E44" s="39" t="inlineStr">
        <is>
          <t>S008</t>
        </is>
      </c>
      <c r="F44" s="39">
        <f>IFERROR(INDEX(销售员主数据!$B$2:$B$101,MATCH($E44,销售员主数据!$A$2:$A$101,0)),"")</f>
        <v/>
      </c>
      <c r="G44" s="39">
        <f>IFERROR(INDEX(销售员主数据!$C$2:$C$101,MATCH($E44,销售员主数据!$A$2:$A$101,0)),"")</f>
        <v/>
      </c>
      <c r="H44" s="39">
        <f>IFERROR(INDEX(销售员主数据!$D$2:$D$101,MATCH($E44,销售员主数据!$A$2:$A$101,0)),"")</f>
        <v/>
      </c>
      <c r="I44" s="50" t="inlineStr">
        <is>
          <t>Others</t>
        </is>
      </c>
      <c r="J44" s="50" t="inlineStr">
        <is>
          <t>EPTS Specialty</t>
        </is>
      </c>
      <c r="K44" s="54" t="inlineStr">
        <is>
          <t>Special Combo</t>
        </is>
      </c>
      <c r="L44" s="55" t="n">
        <v>36500</v>
      </c>
      <c r="M44" s="56" t="inlineStr">
        <is>
          <t>Inforce</t>
        </is>
      </c>
      <c r="N44" s="57" t="n">
        <v>5</v>
      </c>
      <c r="O44" s="40" t="inlineStr">
        <is>
          <t>Dashboard sample data / 仪表板示例数据</t>
        </is>
      </c>
    </row>
    <row r="45" ht="15" customHeight="1" s="34">
      <c r="A45" s="46" t="n">
        <v>46054</v>
      </c>
      <c r="B45" s="39">
        <f>IF(A45="","",TEXT(A45,"mmm"))</f>
        <v/>
      </c>
      <c r="C45" s="39" t="inlineStr">
        <is>
          <t>ORD-2026-02-S008</t>
        </is>
      </c>
      <c r="D45" s="40" t="inlineStr">
        <is>
          <t>Sample Client - Kelly Tan - Feb</t>
        </is>
      </c>
      <c r="E45" s="39" t="inlineStr">
        <is>
          <t>S008</t>
        </is>
      </c>
      <c r="F45" s="39">
        <f>IFERROR(INDEX(销售员主数据!$B$2:$B$101,MATCH($E45,销售员主数据!$A$2:$A$101,0)),"")</f>
        <v/>
      </c>
      <c r="G45" s="39">
        <f>IFERROR(INDEX(销售员主数据!$C$2:$C$101,MATCH($E45,销售员主数据!$A$2:$A$101,0)),"")</f>
        <v/>
      </c>
      <c r="H45" s="39">
        <f>IFERROR(INDEX(销售员主数据!$D$2:$D$101,MATCH($E45,销售员主数据!$A$2:$A$101,0)),"")</f>
        <v/>
      </c>
      <c r="I45" s="50" t="inlineStr">
        <is>
          <t>Others</t>
        </is>
      </c>
      <c r="J45" s="50" t="inlineStr">
        <is>
          <t>EPTS Specialty</t>
        </is>
      </c>
      <c r="K45" s="54" t="inlineStr">
        <is>
          <t>Special Combo</t>
        </is>
      </c>
      <c r="L45" s="55" t="n">
        <v>51400</v>
      </c>
      <c r="M45" s="56" t="inlineStr">
        <is>
          <t>Inforce</t>
        </is>
      </c>
      <c r="N45" s="57" t="n">
        <v>7</v>
      </c>
      <c r="O45" s="40" t="inlineStr">
        <is>
          <t>Dashboard sample data / 仪表板示例数据</t>
        </is>
      </c>
    </row>
    <row r="46" ht="15" customHeight="1" s="34">
      <c r="A46" s="46" t="n">
        <v>46082</v>
      </c>
      <c r="B46" s="39">
        <f>IF(A46="","",TEXT(A46,"mmm"))</f>
        <v/>
      </c>
      <c r="C46" s="39" t="inlineStr">
        <is>
          <t>ORD-2026-03-S008</t>
        </is>
      </c>
      <c r="D46" s="40" t="inlineStr">
        <is>
          <t>Sample Client - Kelly Tan - Mar</t>
        </is>
      </c>
      <c r="E46" s="39" t="inlineStr">
        <is>
          <t>S008</t>
        </is>
      </c>
      <c r="F46" s="39">
        <f>IFERROR(INDEX(销售员主数据!$B$2:$B$101,MATCH($E46,销售员主数据!$A$2:$A$101,0)),"")</f>
        <v/>
      </c>
      <c r="G46" s="39">
        <f>IFERROR(INDEX(销售员主数据!$C$2:$C$101,MATCH($E46,销售员主数据!$A$2:$A$101,0)),"")</f>
        <v/>
      </c>
      <c r="H46" s="39">
        <f>IFERROR(INDEX(销售员主数据!$D$2:$D$101,MATCH($E46,销售员主数据!$A$2:$A$101,0)),"")</f>
        <v/>
      </c>
      <c r="I46" s="50" t="inlineStr">
        <is>
          <t>Others</t>
        </is>
      </c>
      <c r="J46" s="50" t="inlineStr">
        <is>
          <t>EPTS Specialty</t>
        </is>
      </c>
      <c r="K46" s="54" t="inlineStr">
        <is>
          <t>Special Combo</t>
        </is>
      </c>
      <c r="L46" s="55" t="n">
        <v>72600</v>
      </c>
      <c r="M46" s="56" t="inlineStr">
        <is>
          <t>Inforce</t>
        </is>
      </c>
      <c r="N46" s="57" t="n">
        <v>9</v>
      </c>
      <c r="O46" s="40" t="inlineStr">
        <is>
          <t>Dashboard sample data / 仪表板示例数据</t>
        </is>
      </c>
    </row>
    <row r="47" ht="15" customHeight="1" s="34">
      <c r="A47" s="46" t="n">
        <v>46113</v>
      </c>
      <c r="B47" s="39">
        <f>IF(A47="","",TEXT(A47,"mmm"))</f>
        <v/>
      </c>
      <c r="C47" s="39" t="inlineStr">
        <is>
          <t>ORD-2026-04-S008</t>
        </is>
      </c>
      <c r="D47" s="40" t="inlineStr">
        <is>
          <t>Sample Client - Kelly Tan - Apr</t>
        </is>
      </c>
      <c r="E47" s="39" t="inlineStr">
        <is>
          <t>S008</t>
        </is>
      </c>
      <c r="F47" s="39">
        <f>IFERROR(INDEX(销售员主数据!$B$2:$B$101,MATCH($E47,销售员主数据!$A$2:$A$101,0)),"")</f>
        <v/>
      </c>
      <c r="G47" s="39">
        <f>IFERROR(INDEX(销售员主数据!$C$2:$C$101,MATCH($E47,销售员主数据!$A$2:$A$101,0)),"")</f>
        <v/>
      </c>
      <c r="H47" s="39">
        <f>IFERROR(INDEX(销售员主数据!$D$2:$D$101,MATCH($E47,销售员主数据!$A$2:$A$101,0)),"")</f>
        <v/>
      </c>
      <c r="I47" s="50" t="inlineStr">
        <is>
          <t>Others</t>
        </is>
      </c>
      <c r="J47" s="50" t="inlineStr">
        <is>
          <t>EPTS Specialty</t>
        </is>
      </c>
      <c r="K47" s="54" t="inlineStr">
        <is>
          <t>Special Combo</t>
        </is>
      </c>
      <c r="L47" s="55" t="n">
        <v>86400</v>
      </c>
      <c r="M47" s="56" t="inlineStr">
        <is>
          <t>Inforce</t>
        </is>
      </c>
      <c r="N47" s="57" t="n">
        <v>11</v>
      </c>
      <c r="O47" s="40" t="inlineStr">
        <is>
          <t>Dashboard sample data / 仪表板示例数据</t>
        </is>
      </c>
    </row>
    <row r="48" ht="15" customHeight="1" s="34">
      <c r="A48" s="46" t="n">
        <v>46143</v>
      </c>
      <c r="B48" s="39">
        <f>IF(A48="","",TEXT(A48,"mmm"))</f>
        <v/>
      </c>
      <c r="C48" s="39" t="inlineStr">
        <is>
          <t>ORD-2026-05-S008</t>
        </is>
      </c>
      <c r="D48" s="40" t="inlineStr">
        <is>
          <t>Sample Client - Kelly Tan - May</t>
        </is>
      </c>
      <c r="E48" s="39" t="inlineStr">
        <is>
          <t>S008</t>
        </is>
      </c>
      <c r="F48" s="39">
        <f>IFERROR(INDEX(销售员主数据!$B$2:$B$101,MATCH($E48,销售员主数据!$A$2:$A$101,0)),"")</f>
        <v/>
      </c>
      <c r="G48" s="39">
        <f>IFERROR(INDEX(销售员主数据!$C$2:$C$101,MATCH($E48,销售员主数据!$A$2:$A$101,0)),"")</f>
        <v/>
      </c>
      <c r="H48" s="39">
        <f>IFERROR(INDEX(销售员主数据!$D$2:$D$101,MATCH($E48,销售员主数据!$A$2:$A$101,0)),"")</f>
        <v/>
      </c>
      <c r="I48" s="50" t="inlineStr">
        <is>
          <t>Others</t>
        </is>
      </c>
      <c r="J48" s="50" t="inlineStr">
        <is>
          <t>EPTS Specialty</t>
        </is>
      </c>
      <c r="K48" s="54" t="inlineStr">
        <is>
          <t>Special Combo</t>
        </is>
      </c>
      <c r="L48" s="55" t="n">
        <v>99200</v>
      </c>
      <c r="M48" s="56" t="inlineStr">
        <is>
          <t>Submitted</t>
        </is>
      </c>
      <c r="N48" s="57" t="n">
        <v>12</v>
      </c>
      <c r="O48" s="40" t="inlineStr">
        <is>
          <t>Dashboard sample data / 仪表板示例数据</t>
        </is>
      </c>
    </row>
    <row r="49" ht="15" customHeight="1" s="34">
      <c r="A49" s="46" t="n">
        <v>46174</v>
      </c>
      <c r="B49" s="39">
        <f>IF(A49="","",TEXT(A49,"mmm"))</f>
        <v/>
      </c>
      <c r="C49" s="39" t="inlineStr">
        <is>
          <t>ORD-2026-06-S008</t>
        </is>
      </c>
      <c r="D49" s="40" t="inlineStr">
        <is>
          <t>Sample Client - Kelly Tan - Jun</t>
        </is>
      </c>
      <c r="E49" s="39" t="inlineStr">
        <is>
          <t>S008</t>
        </is>
      </c>
      <c r="F49" s="39">
        <f>IFERROR(INDEX(销售员主数据!$B$2:$B$101,MATCH($E49,销售员主数据!$A$2:$A$101,0)),"")</f>
        <v/>
      </c>
      <c r="G49" s="39">
        <f>IFERROR(INDEX(销售员主数据!$C$2:$C$101,MATCH($E49,销售员主数据!$A$2:$A$101,0)),"")</f>
        <v/>
      </c>
      <c r="H49" s="39">
        <f>IFERROR(INDEX(销售员主数据!$D$2:$D$101,MATCH($E49,销售员主数据!$A$2:$A$101,0)),"")</f>
        <v/>
      </c>
      <c r="I49" s="50" t="inlineStr">
        <is>
          <t>Others</t>
        </is>
      </c>
      <c r="J49" s="50" t="inlineStr">
        <is>
          <t>EPTS Specialty</t>
        </is>
      </c>
      <c r="K49" s="54" t="inlineStr">
        <is>
          <t>Special Combo</t>
        </is>
      </c>
      <c r="L49" s="55" t="n">
        <v>108900</v>
      </c>
      <c r="M49" s="56" t="inlineStr">
        <is>
          <t>Submitted</t>
        </is>
      </c>
      <c r="N49" s="57" t="n">
        <v>13</v>
      </c>
      <c r="O49" s="40" t="inlineStr">
        <is>
          <t>Dashboard sample data / 仪表板示例数据</t>
        </is>
      </c>
    </row>
    <row r="50" ht="15" customHeight="1" s="34">
      <c r="A50" s="46" t="n"/>
      <c r="B50" s="39">
        <f>IF(A50="","",TEXT(A50,"mmm"))</f>
        <v/>
      </c>
      <c r="C50" s="39" t="n"/>
      <c r="D50" s="40" t="n"/>
      <c r="E50" s="39" t="n"/>
      <c r="F50" s="39">
        <f>IFERROR(INDEX(销售员主数据!$B$2:$B$101,MATCH($E50,销售员主数据!$A$2:$A$101,0)),"")</f>
        <v/>
      </c>
      <c r="G50" s="39">
        <f>IFERROR(INDEX(销售员主数据!$C$2:$C$101,MATCH($E50,销售员主数据!$A$2:$A$101,0)),"")</f>
        <v/>
      </c>
      <c r="H50" s="39">
        <f>IFERROR(INDEX(销售员主数据!$D$2:$D$101,MATCH($E50,销售员主数据!$A$2:$A$101,0)),"")</f>
        <v/>
      </c>
      <c r="I50" s="50" t="n"/>
      <c r="J50" s="50" t="n"/>
      <c r="K50" s="54" t="n"/>
      <c r="L50" s="55" t="n"/>
      <c r="M50" s="56" t="n"/>
      <c r="N50" s="57">
        <f>IF(COUNTBLANK(A50:L50)=12,"",1)</f>
        <v/>
      </c>
      <c r="O50" s="40" t="n"/>
    </row>
    <row r="51" ht="15" customHeight="1" s="34">
      <c r="A51" s="48" t="n"/>
      <c r="B51" s="41">
        <f>IF(A51="","",TEXT(A51,"mmm"))</f>
        <v/>
      </c>
      <c r="C51" s="41" t="n"/>
      <c r="D51" s="42" t="n"/>
      <c r="E51" s="41" t="n"/>
      <c r="F51" s="41">
        <f>IFERROR(INDEX(销售员主数据!$B$2:$B$101,MATCH($E51,销售员主数据!$A$2:$A$101,0)),"")</f>
        <v/>
      </c>
      <c r="G51" s="41">
        <f>IFERROR(INDEX(销售员主数据!$C$2:$C$101,MATCH($E51,销售员主数据!$A$2:$A$101,0)),"")</f>
        <v/>
      </c>
      <c r="H51" s="41">
        <f>IFERROR(INDEX(销售员主数据!$D$2:$D$101,MATCH($E51,销售员主数据!$A$2:$A$101,0)),"")</f>
        <v/>
      </c>
      <c r="I51" s="43" t="n"/>
      <c r="J51" s="43" t="n"/>
      <c r="K51" s="44" t="n"/>
      <c r="L51" s="58" t="n"/>
      <c r="M51" s="59" t="n"/>
      <c r="N51" s="60">
        <f>IF(COUNTBLANK(A51:L51)=12,"",1)</f>
        <v/>
      </c>
      <c r="O51" s="42" t="n"/>
    </row>
    <row r="52" ht="15" customHeight="1" s="34">
      <c r="A52" s="46" t="n"/>
      <c r="B52" s="39">
        <f>IF(A52="","",TEXT(A52,"mmm"))</f>
        <v/>
      </c>
      <c r="C52" s="39" t="n"/>
      <c r="D52" s="40" t="n"/>
      <c r="E52" s="39" t="n"/>
      <c r="F52" s="39">
        <f>IFERROR(INDEX(销售员主数据!$B$2:$B$101,MATCH($E52,销售员主数据!$A$2:$A$101,0)),"")</f>
        <v/>
      </c>
      <c r="G52" s="39">
        <f>IFERROR(INDEX(销售员主数据!$C$2:$C$101,MATCH($E52,销售员主数据!$A$2:$A$101,0)),"")</f>
        <v/>
      </c>
      <c r="H52" s="39">
        <f>IFERROR(INDEX(销售员主数据!$D$2:$D$101,MATCH($E52,销售员主数据!$A$2:$A$101,0)),"")</f>
        <v/>
      </c>
      <c r="I52" s="50" t="n"/>
      <c r="J52" s="50" t="n"/>
      <c r="K52" s="54" t="n"/>
      <c r="L52" s="55" t="n"/>
      <c r="M52" s="56" t="n"/>
      <c r="N52" s="57">
        <f>IF(COUNTBLANK(A52:L52)=12,"",1)</f>
        <v/>
      </c>
      <c r="O52" s="40" t="n"/>
    </row>
    <row r="53" ht="15" customHeight="1" s="34">
      <c r="A53" s="48" t="n"/>
      <c r="B53" s="41">
        <f>IF(A53="","",TEXT(A53,"mmm"))</f>
        <v/>
      </c>
      <c r="C53" s="41" t="n"/>
      <c r="D53" s="42" t="n"/>
      <c r="E53" s="41" t="n"/>
      <c r="F53" s="41">
        <f>IFERROR(INDEX(销售员主数据!$B$2:$B$101,MATCH($E53,销售员主数据!$A$2:$A$101,0)),"")</f>
        <v/>
      </c>
      <c r="G53" s="41">
        <f>IFERROR(INDEX(销售员主数据!$C$2:$C$101,MATCH($E53,销售员主数据!$A$2:$A$101,0)),"")</f>
        <v/>
      </c>
      <c r="H53" s="41">
        <f>IFERROR(INDEX(销售员主数据!$D$2:$D$101,MATCH($E53,销售员主数据!$A$2:$A$101,0)),"")</f>
        <v/>
      </c>
      <c r="I53" s="43" t="n"/>
      <c r="J53" s="43" t="n"/>
      <c r="K53" s="44" t="n"/>
      <c r="L53" s="58" t="n"/>
      <c r="M53" s="59" t="n"/>
      <c r="N53" s="60">
        <f>IF(COUNTBLANK(A53:L53)=12,"",1)</f>
        <v/>
      </c>
      <c r="O53" s="42" t="n"/>
    </row>
    <row r="54" ht="15" customHeight="1" s="34">
      <c r="A54" s="46" t="n"/>
      <c r="B54" s="39">
        <f>IF(A54="","",TEXT(A54,"mmm"))</f>
        <v/>
      </c>
      <c r="C54" s="39" t="n"/>
      <c r="D54" s="40" t="n"/>
      <c r="E54" s="39" t="n"/>
      <c r="F54" s="39">
        <f>IFERROR(INDEX(销售员主数据!$B$2:$B$101,MATCH($E54,销售员主数据!$A$2:$A$101,0)),"")</f>
        <v/>
      </c>
      <c r="G54" s="39">
        <f>IFERROR(INDEX(销售员主数据!$C$2:$C$101,MATCH($E54,销售员主数据!$A$2:$A$101,0)),"")</f>
        <v/>
      </c>
      <c r="H54" s="39">
        <f>IFERROR(INDEX(销售员主数据!$D$2:$D$101,MATCH($E54,销售员主数据!$A$2:$A$101,0)),"")</f>
        <v/>
      </c>
      <c r="I54" s="50" t="n"/>
      <c r="J54" s="50" t="n"/>
      <c r="K54" s="54" t="n"/>
      <c r="L54" s="55" t="n"/>
      <c r="M54" s="56" t="n"/>
      <c r="N54" s="57">
        <f>IF(COUNTBLANK(A54:L54)=12,"",1)</f>
        <v/>
      </c>
      <c r="O54" s="40" t="n"/>
    </row>
    <row r="55" ht="15" customHeight="1" s="34">
      <c r="A55" s="48" t="n"/>
      <c r="B55" s="41">
        <f>IF(A55="","",TEXT(A55,"mmm"))</f>
        <v/>
      </c>
      <c r="C55" s="41" t="n"/>
      <c r="D55" s="42" t="n"/>
      <c r="E55" s="41" t="n"/>
      <c r="F55" s="41">
        <f>IFERROR(INDEX(销售员主数据!$B$2:$B$101,MATCH($E55,销售员主数据!$A$2:$A$101,0)),"")</f>
        <v/>
      </c>
      <c r="G55" s="41">
        <f>IFERROR(INDEX(销售员主数据!$C$2:$C$101,MATCH($E55,销售员主数据!$A$2:$A$101,0)),"")</f>
        <v/>
      </c>
      <c r="H55" s="41">
        <f>IFERROR(INDEX(销售员主数据!$D$2:$D$101,MATCH($E55,销售员主数据!$A$2:$A$101,0)),"")</f>
        <v/>
      </c>
      <c r="I55" s="43" t="n"/>
      <c r="J55" s="43" t="n"/>
      <c r="K55" s="44" t="n"/>
      <c r="L55" s="58" t="n"/>
      <c r="M55" s="59" t="n"/>
      <c r="N55" s="60">
        <f>IF(COUNTBLANK(A55:L55)=12,"",1)</f>
        <v/>
      </c>
      <c r="O55" s="42" t="n"/>
    </row>
    <row r="56" ht="15" customHeight="1" s="34">
      <c r="A56" s="46" t="n"/>
      <c r="B56" s="39">
        <f>IF(A56="","",TEXT(A56,"mmm"))</f>
        <v/>
      </c>
      <c r="C56" s="39" t="n"/>
      <c r="D56" s="40" t="n"/>
      <c r="E56" s="39" t="n"/>
      <c r="F56" s="39">
        <f>IFERROR(INDEX(销售员主数据!$B$2:$B$101,MATCH($E56,销售员主数据!$A$2:$A$101,0)),"")</f>
        <v/>
      </c>
      <c r="G56" s="39">
        <f>IFERROR(INDEX(销售员主数据!$C$2:$C$101,MATCH($E56,销售员主数据!$A$2:$A$101,0)),"")</f>
        <v/>
      </c>
      <c r="H56" s="39">
        <f>IFERROR(INDEX(销售员主数据!$D$2:$D$101,MATCH($E56,销售员主数据!$A$2:$A$101,0)),"")</f>
        <v/>
      </c>
      <c r="I56" s="50" t="n"/>
      <c r="J56" s="50" t="n"/>
      <c r="K56" s="54" t="n"/>
      <c r="L56" s="55" t="n"/>
      <c r="M56" s="56" t="n"/>
      <c r="N56" s="57">
        <f>IF(COUNTBLANK(A56:L56)=12,"",1)</f>
        <v/>
      </c>
      <c r="O56" s="40" t="n"/>
    </row>
    <row r="57" ht="15" customHeight="1" s="34">
      <c r="A57" s="48" t="n"/>
      <c r="B57" s="41">
        <f>IF(A57="","",TEXT(A57,"mmm"))</f>
        <v/>
      </c>
      <c r="C57" s="41" t="n"/>
      <c r="D57" s="42" t="n"/>
      <c r="E57" s="41" t="n"/>
      <c r="F57" s="41">
        <f>IFERROR(INDEX(销售员主数据!$B$2:$B$101,MATCH($E57,销售员主数据!$A$2:$A$101,0)),"")</f>
        <v/>
      </c>
      <c r="G57" s="41">
        <f>IFERROR(INDEX(销售员主数据!$C$2:$C$101,MATCH($E57,销售员主数据!$A$2:$A$101,0)),"")</f>
        <v/>
      </c>
      <c r="H57" s="41">
        <f>IFERROR(INDEX(销售员主数据!$D$2:$D$101,MATCH($E57,销售员主数据!$A$2:$A$101,0)),"")</f>
        <v/>
      </c>
      <c r="I57" s="43" t="n"/>
      <c r="J57" s="43" t="n"/>
      <c r="K57" s="44" t="n"/>
      <c r="L57" s="58" t="n"/>
      <c r="M57" s="59" t="n"/>
      <c r="N57" s="60">
        <f>IF(COUNTBLANK(A57:L57)=12,"",1)</f>
        <v/>
      </c>
      <c r="O57" s="42" t="n"/>
    </row>
    <row r="58" ht="15" customHeight="1" s="34">
      <c r="A58" s="46" t="n"/>
      <c r="B58" s="39">
        <f>IF(A58="","",TEXT(A58,"mmm"))</f>
        <v/>
      </c>
      <c r="C58" s="39" t="n"/>
      <c r="D58" s="40" t="n"/>
      <c r="E58" s="39" t="n"/>
      <c r="F58" s="39">
        <f>IFERROR(INDEX(销售员主数据!$B$2:$B$101,MATCH($E58,销售员主数据!$A$2:$A$101,0)),"")</f>
        <v/>
      </c>
      <c r="G58" s="39">
        <f>IFERROR(INDEX(销售员主数据!$C$2:$C$101,MATCH($E58,销售员主数据!$A$2:$A$101,0)),"")</f>
        <v/>
      </c>
      <c r="H58" s="39">
        <f>IFERROR(INDEX(销售员主数据!$D$2:$D$101,MATCH($E58,销售员主数据!$A$2:$A$101,0)),"")</f>
        <v/>
      </c>
      <c r="I58" s="50" t="n"/>
      <c r="J58" s="50" t="n"/>
      <c r="K58" s="54" t="n"/>
      <c r="L58" s="55" t="n"/>
      <c r="M58" s="56" t="n"/>
      <c r="N58" s="57">
        <f>IF(COUNTBLANK(A58:L58)=12,"",1)</f>
        <v/>
      </c>
      <c r="O58" s="40" t="n"/>
    </row>
    <row r="59" ht="15" customHeight="1" s="34">
      <c r="A59" s="48" t="n"/>
      <c r="B59" s="41">
        <f>IF(A59="","",TEXT(A59,"mmm"))</f>
        <v/>
      </c>
      <c r="C59" s="41" t="n"/>
      <c r="D59" s="42" t="n"/>
      <c r="E59" s="41" t="n"/>
      <c r="F59" s="41">
        <f>IFERROR(INDEX(销售员主数据!$B$2:$B$101,MATCH($E59,销售员主数据!$A$2:$A$101,0)),"")</f>
        <v/>
      </c>
      <c r="G59" s="41">
        <f>IFERROR(INDEX(销售员主数据!$C$2:$C$101,MATCH($E59,销售员主数据!$A$2:$A$101,0)),"")</f>
        <v/>
      </c>
      <c r="H59" s="41">
        <f>IFERROR(INDEX(销售员主数据!$D$2:$D$101,MATCH($E59,销售员主数据!$A$2:$A$101,0)),"")</f>
        <v/>
      </c>
      <c r="I59" s="43" t="n"/>
      <c r="J59" s="43" t="n"/>
      <c r="K59" s="44" t="n"/>
      <c r="L59" s="58" t="n"/>
      <c r="M59" s="59" t="n"/>
      <c r="N59" s="60">
        <f>IF(COUNTBLANK(A59:L59)=12,"",1)</f>
        <v/>
      </c>
      <c r="O59" s="42" t="n"/>
    </row>
    <row r="60" ht="15" customHeight="1" s="34">
      <c r="A60" s="46" t="n"/>
      <c r="B60" s="39">
        <f>IF(A60="","",TEXT(A60,"mmm"))</f>
        <v/>
      </c>
      <c r="C60" s="39" t="n"/>
      <c r="D60" s="40" t="n"/>
      <c r="E60" s="39" t="n"/>
      <c r="F60" s="39">
        <f>IFERROR(INDEX(销售员主数据!$B$2:$B$101,MATCH($E60,销售员主数据!$A$2:$A$101,0)),"")</f>
        <v/>
      </c>
      <c r="G60" s="39">
        <f>IFERROR(INDEX(销售员主数据!$C$2:$C$101,MATCH($E60,销售员主数据!$A$2:$A$101,0)),"")</f>
        <v/>
      </c>
      <c r="H60" s="39">
        <f>IFERROR(INDEX(销售员主数据!$D$2:$D$101,MATCH($E60,销售员主数据!$A$2:$A$101,0)),"")</f>
        <v/>
      </c>
      <c r="I60" s="50" t="n"/>
      <c r="J60" s="50" t="n"/>
      <c r="K60" s="54" t="n"/>
      <c r="L60" s="55" t="n"/>
      <c r="M60" s="56" t="n"/>
      <c r="N60" s="57">
        <f>IF(COUNTBLANK(A60:L60)=12,"",1)</f>
        <v/>
      </c>
      <c r="O60" s="40" t="n"/>
    </row>
    <row r="61" ht="15" customHeight="1" s="34">
      <c r="A61" s="48" t="n"/>
      <c r="B61" s="41">
        <f>IF(A61="","",TEXT(A61,"mmm"))</f>
        <v/>
      </c>
      <c r="C61" s="41" t="n"/>
      <c r="D61" s="42" t="n"/>
      <c r="E61" s="41" t="n"/>
      <c r="F61" s="41">
        <f>IFERROR(INDEX(销售员主数据!$B$2:$B$101,MATCH($E61,销售员主数据!$A$2:$A$101,0)),"")</f>
        <v/>
      </c>
      <c r="G61" s="41">
        <f>IFERROR(INDEX(销售员主数据!$C$2:$C$101,MATCH($E61,销售员主数据!$A$2:$A$101,0)),"")</f>
        <v/>
      </c>
      <c r="H61" s="41">
        <f>IFERROR(INDEX(销售员主数据!$D$2:$D$101,MATCH($E61,销售员主数据!$A$2:$A$101,0)),"")</f>
        <v/>
      </c>
      <c r="I61" s="43" t="n"/>
      <c r="J61" s="43" t="n"/>
      <c r="K61" s="44" t="n"/>
      <c r="L61" s="58" t="n"/>
      <c r="M61" s="59" t="n"/>
      <c r="N61" s="60">
        <f>IF(COUNTBLANK(A61:L61)=12,"",1)</f>
        <v/>
      </c>
      <c r="O61" s="42" t="n"/>
    </row>
    <row r="62" ht="15" customHeight="1" s="34">
      <c r="A62" s="46" t="n"/>
      <c r="B62" s="39">
        <f>IF(A62="","",TEXT(A62,"mmm"))</f>
        <v/>
      </c>
      <c r="C62" s="39" t="n"/>
      <c r="D62" s="40" t="n"/>
      <c r="E62" s="39" t="n"/>
      <c r="F62" s="39">
        <f>IFERROR(INDEX(销售员主数据!$B$2:$B$101,MATCH($E62,销售员主数据!$A$2:$A$101,0)),"")</f>
        <v/>
      </c>
      <c r="G62" s="39">
        <f>IFERROR(INDEX(销售员主数据!$C$2:$C$101,MATCH($E62,销售员主数据!$A$2:$A$101,0)),"")</f>
        <v/>
      </c>
      <c r="H62" s="39">
        <f>IFERROR(INDEX(销售员主数据!$D$2:$D$101,MATCH($E62,销售员主数据!$A$2:$A$101,0)),"")</f>
        <v/>
      </c>
      <c r="I62" s="50" t="n"/>
      <c r="J62" s="50" t="n"/>
      <c r="K62" s="54" t="n"/>
      <c r="L62" s="55" t="n"/>
      <c r="M62" s="56" t="n"/>
      <c r="N62" s="57">
        <f>IF(COUNTBLANK(A62:L62)=12,"",1)</f>
        <v/>
      </c>
      <c r="O62" s="40" t="n"/>
    </row>
    <row r="63" ht="15" customHeight="1" s="34">
      <c r="A63" s="48" t="n"/>
      <c r="B63" s="41">
        <f>IF(A63="","",TEXT(A63,"mmm"))</f>
        <v/>
      </c>
      <c r="C63" s="41" t="n"/>
      <c r="D63" s="42" t="n"/>
      <c r="E63" s="41" t="n"/>
      <c r="F63" s="41">
        <f>IFERROR(INDEX(销售员主数据!$B$2:$B$101,MATCH($E63,销售员主数据!$A$2:$A$101,0)),"")</f>
        <v/>
      </c>
      <c r="G63" s="41">
        <f>IFERROR(INDEX(销售员主数据!$C$2:$C$101,MATCH($E63,销售员主数据!$A$2:$A$101,0)),"")</f>
        <v/>
      </c>
      <c r="H63" s="41">
        <f>IFERROR(INDEX(销售员主数据!$D$2:$D$101,MATCH($E63,销售员主数据!$A$2:$A$101,0)),"")</f>
        <v/>
      </c>
      <c r="I63" s="43" t="n"/>
      <c r="J63" s="43" t="n"/>
      <c r="K63" s="44" t="n"/>
      <c r="L63" s="58" t="n"/>
      <c r="M63" s="59" t="n"/>
      <c r="N63" s="60">
        <f>IF(COUNTBLANK(A63:L63)=12,"",1)</f>
        <v/>
      </c>
      <c r="O63" s="42" t="n"/>
    </row>
    <row r="64" ht="15" customHeight="1" s="34">
      <c r="A64" s="46" t="n"/>
      <c r="B64" s="39">
        <f>IF(A64="","",TEXT(A64,"mmm"))</f>
        <v/>
      </c>
      <c r="C64" s="39" t="n"/>
      <c r="D64" s="40" t="n"/>
      <c r="E64" s="39" t="n"/>
      <c r="F64" s="39">
        <f>IFERROR(INDEX(销售员主数据!$B$2:$B$101,MATCH($E64,销售员主数据!$A$2:$A$101,0)),"")</f>
        <v/>
      </c>
      <c r="G64" s="39">
        <f>IFERROR(INDEX(销售员主数据!$C$2:$C$101,MATCH($E64,销售员主数据!$A$2:$A$101,0)),"")</f>
        <v/>
      </c>
      <c r="H64" s="39">
        <f>IFERROR(INDEX(销售员主数据!$D$2:$D$101,MATCH($E64,销售员主数据!$A$2:$A$101,0)),"")</f>
        <v/>
      </c>
      <c r="I64" s="50" t="n"/>
      <c r="J64" s="50" t="n"/>
      <c r="K64" s="54" t="n"/>
      <c r="L64" s="55" t="n"/>
      <c r="M64" s="56" t="n"/>
      <c r="N64" s="57">
        <f>IF(COUNTBLANK(A64:L64)=12,"",1)</f>
        <v/>
      </c>
      <c r="O64" s="40" t="n"/>
    </row>
    <row r="65" ht="15" customHeight="1" s="34">
      <c r="A65" s="48" t="n"/>
      <c r="B65" s="41">
        <f>IF(A65="","",TEXT(A65,"mmm"))</f>
        <v/>
      </c>
      <c r="C65" s="41" t="n"/>
      <c r="D65" s="42" t="n"/>
      <c r="E65" s="41" t="n"/>
      <c r="F65" s="41">
        <f>IFERROR(INDEX(销售员主数据!$B$2:$B$101,MATCH($E65,销售员主数据!$A$2:$A$101,0)),"")</f>
        <v/>
      </c>
      <c r="G65" s="41">
        <f>IFERROR(INDEX(销售员主数据!$C$2:$C$101,MATCH($E65,销售员主数据!$A$2:$A$101,0)),"")</f>
        <v/>
      </c>
      <c r="H65" s="41">
        <f>IFERROR(INDEX(销售员主数据!$D$2:$D$101,MATCH($E65,销售员主数据!$A$2:$A$101,0)),"")</f>
        <v/>
      </c>
      <c r="I65" s="43" t="n"/>
      <c r="J65" s="43" t="n"/>
      <c r="K65" s="44" t="n"/>
      <c r="L65" s="58" t="n"/>
      <c r="M65" s="59" t="n"/>
      <c r="N65" s="60">
        <f>IF(COUNTBLANK(A65:L65)=12,"",1)</f>
        <v/>
      </c>
      <c r="O65" s="42" t="n"/>
    </row>
    <row r="66" ht="15" customHeight="1" s="34">
      <c r="A66" s="46" t="n"/>
      <c r="B66" s="39">
        <f>IF(A66="","",TEXT(A66,"mmm"))</f>
        <v/>
      </c>
      <c r="C66" s="39" t="n"/>
      <c r="D66" s="40" t="n"/>
      <c r="E66" s="39" t="n"/>
      <c r="F66" s="39">
        <f>IFERROR(INDEX(销售员主数据!$B$2:$B$101,MATCH($E66,销售员主数据!$A$2:$A$101,0)),"")</f>
        <v/>
      </c>
      <c r="G66" s="39">
        <f>IFERROR(INDEX(销售员主数据!$C$2:$C$101,MATCH($E66,销售员主数据!$A$2:$A$101,0)),"")</f>
        <v/>
      </c>
      <c r="H66" s="39">
        <f>IFERROR(INDEX(销售员主数据!$D$2:$D$101,MATCH($E66,销售员主数据!$A$2:$A$101,0)),"")</f>
        <v/>
      </c>
      <c r="I66" s="50" t="n"/>
      <c r="J66" s="50" t="n"/>
      <c r="K66" s="54" t="n"/>
      <c r="L66" s="55" t="n"/>
      <c r="M66" s="56" t="n"/>
      <c r="N66" s="57">
        <f>IF(COUNTBLANK(A66:L66)=12,"",1)</f>
        <v/>
      </c>
      <c r="O66" s="40" t="n"/>
    </row>
    <row r="67" ht="15" customHeight="1" s="34">
      <c r="A67" s="48" t="n"/>
      <c r="B67" s="41">
        <f>IF(A67="","",TEXT(A67,"mmm"))</f>
        <v/>
      </c>
      <c r="C67" s="41" t="n"/>
      <c r="D67" s="42" t="n"/>
      <c r="E67" s="41" t="n"/>
      <c r="F67" s="41">
        <f>IFERROR(INDEX(销售员主数据!$B$2:$B$101,MATCH($E67,销售员主数据!$A$2:$A$101,0)),"")</f>
        <v/>
      </c>
      <c r="G67" s="41">
        <f>IFERROR(INDEX(销售员主数据!$C$2:$C$101,MATCH($E67,销售员主数据!$A$2:$A$101,0)),"")</f>
        <v/>
      </c>
      <c r="H67" s="41">
        <f>IFERROR(INDEX(销售员主数据!$D$2:$D$101,MATCH($E67,销售员主数据!$A$2:$A$101,0)),"")</f>
        <v/>
      </c>
      <c r="I67" s="43" t="n"/>
      <c r="J67" s="43" t="n"/>
      <c r="K67" s="44" t="n"/>
      <c r="L67" s="58" t="n"/>
      <c r="M67" s="59" t="n"/>
      <c r="N67" s="60">
        <f>IF(COUNTBLANK(A67:L67)=12,"",1)</f>
        <v/>
      </c>
      <c r="O67" s="42" t="n"/>
    </row>
    <row r="68" ht="15" customHeight="1" s="34">
      <c r="A68" s="46" t="n"/>
      <c r="B68" s="39">
        <f>IF(A68="","",TEXT(A68,"mmm"))</f>
        <v/>
      </c>
      <c r="C68" s="39" t="n"/>
      <c r="D68" s="40" t="n"/>
      <c r="E68" s="39" t="n"/>
      <c r="F68" s="39">
        <f>IFERROR(INDEX(销售员主数据!$B$2:$B$101,MATCH($E68,销售员主数据!$A$2:$A$101,0)),"")</f>
        <v/>
      </c>
      <c r="G68" s="39">
        <f>IFERROR(INDEX(销售员主数据!$C$2:$C$101,MATCH($E68,销售员主数据!$A$2:$A$101,0)),"")</f>
        <v/>
      </c>
      <c r="H68" s="39">
        <f>IFERROR(INDEX(销售员主数据!$D$2:$D$101,MATCH($E68,销售员主数据!$A$2:$A$101,0)),"")</f>
        <v/>
      </c>
      <c r="I68" s="50" t="n"/>
      <c r="J68" s="50" t="n"/>
      <c r="K68" s="54" t="n"/>
      <c r="L68" s="55" t="n"/>
      <c r="M68" s="56" t="n"/>
      <c r="N68" s="57">
        <f>IF(COUNTBLANK(A68:L68)=12,"",1)</f>
        <v/>
      </c>
      <c r="O68" s="40" t="n"/>
    </row>
    <row r="69" ht="15" customHeight="1" s="34">
      <c r="A69" s="48" t="n"/>
      <c r="B69" s="41">
        <f>IF(A69="","",TEXT(A69,"mmm"))</f>
        <v/>
      </c>
      <c r="C69" s="41" t="n"/>
      <c r="D69" s="42" t="n"/>
      <c r="E69" s="41" t="n"/>
      <c r="F69" s="41">
        <f>IFERROR(INDEX(销售员主数据!$B$2:$B$101,MATCH($E69,销售员主数据!$A$2:$A$101,0)),"")</f>
        <v/>
      </c>
      <c r="G69" s="41">
        <f>IFERROR(INDEX(销售员主数据!$C$2:$C$101,MATCH($E69,销售员主数据!$A$2:$A$101,0)),"")</f>
        <v/>
      </c>
      <c r="H69" s="41">
        <f>IFERROR(INDEX(销售员主数据!$D$2:$D$101,MATCH($E69,销售员主数据!$A$2:$A$101,0)),"")</f>
        <v/>
      </c>
      <c r="I69" s="43" t="n"/>
      <c r="J69" s="43" t="n"/>
      <c r="K69" s="44" t="n"/>
      <c r="L69" s="58" t="n"/>
      <c r="M69" s="59" t="n"/>
      <c r="N69" s="60">
        <f>IF(COUNTBLANK(A69:L69)=12,"",1)</f>
        <v/>
      </c>
      <c r="O69" s="42" t="n"/>
    </row>
    <row r="70" ht="15" customHeight="1" s="34">
      <c r="A70" s="46" t="n"/>
      <c r="B70" s="39">
        <f>IF(A70="","",TEXT(A70,"mmm"))</f>
        <v/>
      </c>
      <c r="C70" s="39" t="n"/>
      <c r="D70" s="40" t="n"/>
      <c r="E70" s="39" t="n"/>
      <c r="F70" s="39">
        <f>IFERROR(INDEX(销售员主数据!$B$2:$B$101,MATCH($E70,销售员主数据!$A$2:$A$101,0)),"")</f>
        <v/>
      </c>
      <c r="G70" s="39">
        <f>IFERROR(INDEX(销售员主数据!$C$2:$C$101,MATCH($E70,销售员主数据!$A$2:$A$101,0)),"")</f>
        <v/>
      </c>
      <c r="H70" s="39">
        <f>IFERROR(INDEX(销售员主数据!$D$2:$D$101,MATCH($E70,销售员主数据!$A$2:$A$101,0)),"")</f>
        <v/>
      </c>
      <c r="I70" s="50" t="n"/>
      <c r="J70" s="50" t="n"/>
      <c r="K70" s="54" t="n"/>
      <c r="L70" s="55" t="n"/>
      <c r="M70" s="56" t="n"/>
      <c r="N70" s="57">
        <f>IF(COUNTBLANK(A70:L70)=12,"",1)</f>
        <v/>
      </c>
      <c r="O70" s="40" t="n"/>
    </row>
    <row r="71" ht="15" customHeight="1" s="34">
      <c r="A71" s="48" t="n"/>
      <c r="B71" s="41">
        <f>IF(A71="","",TEXT(A71,"mmm"))</f>
        <v/>
      </c>
      <c r="C71" s="41" t="n"/>
      <c r="D71" s="42" t="n"/>
      <c r="E71" s="41" t="n"/>
      <c r="F71" s="41">
        <f>IFERROR(INDEX(销售员主数据!$B$2:$B$101,MATCH($E71,销售员主数据!$A$2:$A$101,0)),"")</f>
        <v/>
      </c>
      <c r="G71" s="41">
        <f>IFERROR(INDEX(销售员主数据!$C$2:$C$101,MATCH($E71,销售员主数据!$A$2:$A$101,0)),"")</f>
        <v/>
      </c>
      <c r="H71" s="41">
        <f>IFERROR(INDEX(销售员主数据!$D$2:$D$101,MATCH($E71,销售员主数据!$A$2:$A$101,0)),"")</f>
        <v/>
      </c>
      <c r="I71" s="43" t="n"/>
      <c r="J71" s="43" t="n"/>
      <c r="K71" s="44" t="n"/>
      <c r="L71" s="58" t="n"/>
      <c r="M71" s="59" t="n"/>
      <c r="N71" s="60">
        <f>IF(COUNTBLANK(A71:L71)=12,"",1)</f>
        <v/>
      </c>
      <c r="O71" s="42" t="n"/>
    </row>
    <row r="72" ht="15" customHeight="1" s="34">
      <c r="A72" s="46" t="n"/>
      <c r="B72" s="39">
        <f>IF(A72="","",TEXT(A72,"mmm"))</f>
        <v/>
      </c>
      <c r="C72" s="39" t="n"/>
      <c r="D72" s="40" t="n"/>
      <c r="E72" s="39" t="n"/>
      <c r="F72" s="39">
        <f>IFERROR(INDEX(销售员主数据!$B$2:$B$101,MATCH($E72,销售员主数据!$A$2:$A$101,0)),"")</f>
        <v/>
      </c>
      <c r="G72" s="39">
        <f>IFERROR(INDEX(销售员主数据!$C$2:$C$101,MATCH($E72,销售员主数据!$A$2:$A$101,0)),"")</f>
        <v/>
      </c>
      <c r="H72" s="39">
        <f>IFERROR(INDEX(销售员主数据!$D$2:$D$101,MATCH($E72,销售员主数据!$A$2:$A$101,0)),"")</f>
        <v/>
      </c>
      <c r="I72" s="50" t="n"/>
      <c r="J72" s="50" t="n"/>
      <c r="K72" s="54" t="n"/>
      <c r="L72" s="55" t="n"/>
      <c r="M72" s="56" t="n"/>
      <c r="N72" s="57">
        <f>IF(COUNTBLANK(A72:L72)=12,"",1)</f>
        <v/>
      </c>
      <c r="O72" s="40" t="n"/>
    </row>
    <row r="73" ht="15" customHeight="1" s="34">
      <c r="A73" s="48" t="n"/>
      <c r="B73" s="41">
        <f>IF(A73="","",TEXT(A73,"mmm"))</f>
        <v/>
      </c>
      <c r="C73" s="41" t="n"/>
      <c r="D73" s="42" t="n"/>
      <c r="E73" s="41" t="n"/>
      <c r="F73" s="41">
        <f>IFERROR(INDEX(销售员主数据!$B$2:$B$101,MATCH($E73,销售员主数据!$A$2:$A$101,0)),"")</f>
        <v/>
      </c>
      <c r="G73" s="41">
        <f>IFERROR(INDEX(销售员主数据!$C$2:$C$101,MATCH($E73,销售员主数据!$A$2:$A$101,0)),"")</f>
        <v/>
      </c>
      <c r="H73" s="41">
        <f>IFERROR(INDEX(销售员主数据!$D$2:$D$101,MATCH($E73,销售员主数据!$A$2:$A$101,0)),"")</f>
        <v/>
      </c>
      <c r="I73" s="43" t="n"/>
      <c r="J73" s="43" t="n"/>
      <c r="K73" s="44" t="n"/>
      <c r="L73" s="58" t="n"/>
      <c r="M73" s="59" t="n"/>
      <c r="N73" s="60">
        <f>IF(COUNTBLANK(A73:L73)=12,"",1)</f>
        <v/>
      </c>
      <c r="O73" s="42" t="n"/>
    </row>
    <row r="74" ht="15" customHeight="1" s="34">
      <c r="A74" s="46" t="n"/>
      <c r="B74" s="39">
        <f>IF(A74="","",TEXT(A74,"mmm"))</f>
        <v/>
      </c>
      <c r="C74" s="39" t="n"/>
      <c r="D74" s="40" t="n"/>
      <c r="E74" s="39" t="n"/>
      <c r="F74" s="39">
        <f>IFERROR(INDEX(销售员主数据!$B$2:$B$101,MATCH($E74,销售员主数据!$A$2:$A$101,0)),"")</f>
        <v/>
      </c>
      <c r="G74" s="39">
        <f>IFERROR(INDEX(销售员主数据!$C$2:$C$101,MATCH($E74,销售员主数据!$A$2:$A$101,0)),"")</f>
        <v/>
      </c>
      <c r="H74" s="39">
        <f>IFERROR(INDEX(销售员主数据!$D$2:$D$101,MATCH($E74,销售员主数据!$A$2:$A$101,0)),"")</f>
        <v/>
      </c>
      <c r="I74" s="50" t="n"/>
      <c r="J74" s="50" t="n"/>
      <c r="K74" s="54" t="n"/>
      <c r="L74" s="55" t="n"/>
      <c r="M74" s="56" t="n"/>
      <c r="N74" s="57">
        <f>IF(COUNTBLANK(A74:L74)=12,"",1)</f>
        <v/>
      </c>
      <c r="O74" s="40" t="n"/>
    </row>
    <row r="75" ht="15" customHeight="1" s="34">
      <c r="A75" s="48" t="n"/>
      <c r="B75" s="41">
        <f>IF(A75="","",TEXT(A75,"mmm"))</f>
        <v/>
      </c>
      <c r="C75" s="41" t="n"/>
      <c r="D75" s="42" t="n"/>
      <c r="E75" s="41" t="n"/>
      <c r="F75" s="41">
        <f>IFERROR(INDEX(销售员主数据!$B$2:$B$101,MATCH($E75,销售员主数据!$A$2:$A$101,0)),"")</f>
        <v/>
      </c>
      <c r="G75" s="41">
        <f>IFERROR(INDEX(销售员主数据!$C$2:$C$101,MATCH($E75,销售员主数据!$A$2:$A$101,0)),"")</f>
        <v/>
      </c>
      <c r="H75" s="41">
        <f>IFERROR(INDEX(销售员主数据!$D$2:$D$101,MATCH($E75,销售员主数据!$A$2:$A$101,0)),"")</f>
        <v/>
      </c>
      <c r="I75" s="43" t="n"/>
      <c r="J75" s="43" t="n"/>
      <c r="K75" s="44" t="n"/>
      <c r="L75" s="58" t="n"/>
      <c r="M75" s="59" t="n"/>
      <c r="N75" s="60">
        <f>IF(COUNTBLANK(A75:L75)=12,"",1)</f>
        <v/>
      </c>
      <c r="O75" s="42" t="n"/>
    </row>
    <row r="76" ht="15" customHeight="1" s="34">
      <c r="A76" s="46" t="n"/>
      <c r="B76" s="39">
        <f>IF(A76="","",TEXT(A76,"mmm"))</f>
        <v/>
      </c>
      <c r="C76" s="39" t="n"/>
      <c r="D76" s="40" t="n"/>
      <c r="E76" s="39" t="n"/>
      <c r="F76" s="39">
        <f>IFERROR(INDEX(销售员主数据!$B$2:$B$101,MATCH($E76,销售员主数据!$A$2:$A$101,0)),"")</f>
        <v/>
      </c>
      <c r="G76" s="39">
        <f>IFERROR(INDEX(销售员主数据!$C$2:$C$101,MATCH($E76,销售员主数据!$A$2:$A$101,0)),"")</f>
        <v/>
      </c>
      <c r="H76" s="39">
        <f>IFERROR(INDEX(销售员主数据!$D$2:$D$101,MATCH($E76,销售员主数据!$A$2:$A$101,0)),"")</f>
        <v/>
      </c>
      <c r="I76" s="50" t="n"/>
      <c r="J76" s="50" t="n"/>
      <c r="K76" s="54" t="n"/>
      <c r="L76" s="55" t="n"/>
      <c r="M76" s="56" t="n"/>
      <c r="N76" s="57">
        <f>IF(COUNTBLANK(A76:L76)=12,"",1)</f>
        <v/>
      </c>
      <c r="O76" s="40" t="n"/>
    </row>
    <row r="77" ht="15" customHeight="1" s="34">
      <c r="A77" s="48" t="n"/>
      <c r="B77" s="41">
        <f>IF(A77="","",TEXT(A77,"mmm"))</f>
        <v/>
      </c>
      <c r="C77" s="41" t="n"/>
      <c r="D77" s="42" t="n"/>
      <c r="E77" s="41" t="n"/>
      <c r="F77" s="41">
        <f>IFERROR(INDEX(销售员主数据!$B$2:$B$101,MATCH($E77,销售员主数据!$A$2:$A$101,0)),"")</f>
        <v/>
      </c>
      <c r="G77" s="41">
        <f>IFERROR(INDEX(销售员主数据!$C$2:$C$101,MATCH($E77,销售员主数据!$A$2:$A$101,0)),"")</f>
        <v/>
      </c>
      <c r="H77" s="41">
        <f>IFERROR(INDEX(销售员主数据!$D$2:$D$101,MATCH($E77,销售员主数据!$A$2:$A$101,0)),"")</f>
        <v/>
      </c>
      <c r="I77" s="43" t="n"/>
      <c r="J77" s="43" t="n"/>
      <c r="K77" s="44" t="n"/>
      <c r="L77" s="58" t="n"/>
      <c r="M77" s="59" t="n"/>
      <c r="N77" s="60">
        <f>IF(COUNTBLANK(A77:L77)=12,"",1)</f>
        <v/>
      </c>
      <c r="O77" s="42" t="n"/>
    </row>
    <row r="78" ht="15" customHeight="1" s="34">
      <c r="A78" s="46" t="n"/>
      <c r="B78" s="39">
        <f>IF(A78="","",TEXT(A78,"mmm"))</f>
        <v/>
      </c>
      <c r="C78" s="39" t="n"/>
      <c r="D78" s="40" t="n"/>
      <c r="E78" s="39" t="n"/>
      <c r="F78" s="39">
        <f>IFERROR(INDEX(销售员主数据!$B$2:$B$101,MATCH($E78,销售员主数据!$A$2:$A$101,0)),"")</f>
        <v/>
      </c>
      <c r="G78" s="39">
        <f>IFERROR(INDEX(销售员主数据!$C$2:$C$101,MATCH($E78,销售员主数据!$A$2:$A$101,0)),"")</f>
        <v/>
      </c>
      <c r="H78" s="39">
        <f>IFERROR(INDEX(销售员主数据!$D$2:$D$101,MATCH($E78,销售员主数据!$A$2:$A$101,0)),"")</f>
        <v/>
      </c>
      <c r="I78" s="50" t="n"/>
      <c r="J78" s="50" t="n"/>
      <c r="K78" s="54" t="n"/>
      <c r="L78" s="55" t="n"/>
      <c r="M78" s="56" t="n"/>
      <c r="N78" s="57">
        <f>IF(COUNTBLANK(A78:L78)=12,"",1)</f>
        <v/>
      </c>
      <c r="O78" s="40" t="n"/>
    </row>
    <row r="79" ht="15" customHeight="1" s="34">
      <c r="A79" s="48" t="n"/>
      <c r="B79" s="41">
        <f>IF(A79="","",TEXT(A79,"mmm"))</f>
        <v/>
      </c>
      <c r="C79" s="41" t="n"/>
      <c r="D79" s="42" t="n"/>
      <c r="E79" s="41" t="n"/>
      <c r="F79" s="41">
        <f>IFERROR(INDEX(销售员主数据!$B$2:$B$101,MATCH($E79,销售员主数据!$A$2:$A$101,0)),"")</f>
        <v/>
      </c>
      <c r="G79" s="41">
        <f>IFERROR(INDEX(销售员主数据!$C$2:$C$101,MATCH($E79,销售员主数据!$A$2:$A$101,0)),"")</f>
        <v/>
      </c>
      <c r="H79" s="41">
        <f>IFERROR(INDEX(销售员主数据!$D$2:$D$101,MATCH($E79,销售员主数据!$A$2:$A$101,0)),"")</f>
        <v/>
      </c>
      <c r="I79" s="43" t="n"/>
      <c r="J79" s="43" t="n"/>
      <c r="K79" s="44" t="n"/>
      <c r="L79" s="58" t="n"/>
      <c r="M79" s="59" t="n"/>
      <c r="N79" s="60">
        <f>IF(COUNTBLANK(A79:L79)=12,"",1)</f>
        <v/>
      </c>
      <c r="O79" s="42" t="n"/>
    </row>
    <row r="80" ht="15" customHeight="1" s="34">
      <c r="A80" s="46" t="n"/>
      <c r="B80" s="39">
        <f>IF(A80="","",TEXT(A80,"mmm"))</f>
        <v/>
      </c>
      <c r="C80" s="39" t="n"/>
      <c r="D80" s="40" t="n"/>
      <c r="E80" s="39" t="n"/>
      <c r="F80" s="39">
        <f>IFERROR(INDEX(销售员主数据!$B$2:$B$101,MATCH($E80,销售员主数据!$A$2:$A$101,0)),"")</f>
        <v/>
      </c>
      <c r="G80" s="39">
        <f>IFERROR(INDEX(销售员主数据!$C$2:$C$101,MATCH($E80,销售员主数据!$A$2:$A$101,0)),"")</f>
        <v/>
      </c>
      <c r="H80" s="39">
        <f>IFERROR(INDEX(销售员主数据!$D$2:$D$101,MATCH($E80,销售员主数据!$A$2:$A$101,0)),"")</f>
        <v/>
      </c>
      <c r="I80" s="50" t="n"/>
      <c r="J80" s="50" t="n"/>
      <c r="K80" s="54" t="n"/>
      <c r="L80" s="55" t="n"/>
      <c r="M80" s="56" t="n"/>
      <c r="N80" s="57">
        <f>IF(COUNTBLANK(A80:L80)=12,"",1)</f>
        <v/>
      </c>
      <c r="O80" s="40" t="n"/>
    </row>
    <row r="81" ht="15" customHeight="1" s="34">
      <c r="A81" s="48" t="n"/>
      <c r="B81" s="41">
        <f>IF(A81="","",TEXT(A81,"mmm"))</f>
        <v/>
      </c>
      <c r="C81" s="41" t="n"/>
      <c r="D81" s="42" t="n"/>
      <c r="E81" s="41" t="n"/>
      <c r="F81" s="41">
        <f>IFERROR(INDEX(销售员主数据!$B$2:$B$101,MATCH($E81,销售员主数据!$A$2:$A$101,0)),"")</f>
        <v/>
      </c>
      <c r="G81" s="41">
        <f>IFERROR(INDEX(销售员主数据!$C$2:$C$101,MATCH($E81,销售员主数据!$A$2:$A$101,0)),"")</f>
        <v/>
      </c>
      <c r="H81" s="41">
        <f>IFERROR(INDEX(销售员主数据!$D$2:$D$101,MATCH($E81,销售员主数据!$A$2:$A$101,0)),"")</f>
        <v/>
      </c>
      <c r="I81" s="43" t="n"/>
      <c r="J81" s="43" t="n"/>
      <c r="K81" s="44" t="n"/>
      <c r="L81" s="58" t="n"/>
      <c r="M81" s="59" t="n"/>
      <c r="N81" s="60">
        <f>IF(COUNTBLANK(A81:L81)=12,"",1)</f>
        <v/>
      </c>
      <c r="O81" s="42" t="n"/>
    </row>
    <row r="82" ht="15" customHeight="1" s="34">
      <c r="A82" s="46" t="n"/>
      <c r="B82" s="39">
        <f>IF(A82="","",TEXT(A82,"mmm"))</f>
        <v/>
      </c>
      <c r="C82" s="39" t="n"/>
      <c r="D82" s="40" t="n"/>
      <c r="E82" s="39" t="n"/>
      <c r="F82" s="39">
        <f>IFERROR(INDEX(销售员主数据!$B$2:$B$101,MATCH($E82,销售员主数据!$A$2:$A$101,0)),"")</f>
        <v/>
      </c>
      <c r="G82" s="39">
        <f>IFERROR(INDEX(销售员主数据!$C$2:$C$101,MATCH($E82,销售员主数据!$A$2:$A$101,0)),"")</f>
        <v/>
      </c>
      <c r="H82" s="39">
        <f>IFERROR(INDEX(销售员主数据!$D$2:$D$101,MATCH($E82,销售员主数据!$A$2:$A$101,0)),"")</f>
        <v/>
      </c>
      <c r="I82" s="50" t="n"/>
      <c r="J82" s="50" t="n"/>
      <c r="K82" s="54" t="n"/>
      <c r="L82" s="55" t="n"/>
      <c r="M82" s="56" t="n"/>
      <c r="N82" s="57">
        <f>IF(COUNTBLANK(A82:L82)=12,"",1)</f>
        <v/>
      </c>
      <c r="O82" s="40" t="n"/>
    </row>
    <row r="83" ht="15" customHeight="1" s="34">
      <c r="A83" s="48" t="n"/>
      <c r="B83" s="41">
        <f>IF(A83="","",TEXT(A83,"mmm"))</f>
        <v/>
      </c>
      <c r="C83" s="41" t="n"/>
      <c r="D83" s="42" t="n"/>
      <c r="E83" s="41" t="n"/>
      <c r="F83" s="41">
        <f>IFERROR(INDEX(销售员主数据!$B$2:$B$101,MATCH($E83,销售员主数据!$A$2:$A$101,0)),"")</f>
        <v/>
      </c>
      <c r="G83" s="41">
        <f>IFERROR(INDEX(销售员主数据!$C$2:$C$101,MATCH($E83,销售员主数据!$A$2:$A$101,0)),"")</f>
        <v/>
      </c>
      <c r="H83" s="41">
        <f>IFERROR(INDEX(销售员主数据!$D$2:$D$101,MATCH($E83,销售员主数据!$A$2:$A$101,0)),"")</f>
        <v/>
      </c>
      <c r="I83" s="43" t="n"/>
      <c r="J83" s="43" t="n"/>
      <c r="K83" s="44" t="n"/>
      <c r="L83" s="58" t="n"/>
      <c r="M83" s="59" t="n"/>
      <c r="N83" s="60">
        <f>IF(COUNTBLANK(A83:L83)=12,"",1)</f>
        <v/>
      </c>
      <c r="O83" s="42" t="n"/>
    </row>
    <row r="84" ht="15" customHeight="1" s="34">
      <c r="A84" s="46" t="n"/>
      <c r="B84" s="39">
        <f>IF(A84="","",TEXT(A84,"mmm"))</f>
        <v/>
      </c>
      <c r="C84" s="39" t="n"/>
      <c r="D84" s="40" t="n"/>
      <c r="E84" s="39" t="n"/>
      <c r="F84" s="39">
        <f>IFERROR(INDEX(销售员主数据!$B$2:$B$101,MATCH($E84,销售员主数据!$A$2:$A$101,0)),"")</f>
        <v/>
      </c>
      <c r="G84" s="39">
        <f>IFERROR(INDEX(销售员主数据!$C$2:$C$101,MATCH($E84,销售员主数据!$A$2:$A$101,0)),"")</f>
        <v/>
      </c>
      <c r="H84" s="39">
        <f>IFERROR(INDEX(销售员主数据!$D$2:$D$101,MATCH($E84,销售员主数据!$A$2:$A$101,0)),"")</f>
        <v/>
      </c>
      <c r="I84" s="50" t="n"/>
      <c r="J84" s="50" t="n"/>
      <c r="K84" s="54" t="n"/>
      <c r="L84" s="55" t="n"/>
      <c r="M84" s="56" t="n"/>
      <c r="N84" s="57">
        <f>IF(COUNTBLANK(A84:L84)=12,"",1)</f>
        <v/>
      </c>
      <c r="O84" s="40" t="n"/>
    </row>
    <row r="85" ht="15" customHeight="1" s="34">
      <c r="A85" s="48" t="n"/>
      <c r="B85" s="41">
        <f>IF(A85="","",TEXT(A85,"mmm"))</f>
        <v/>
      </c>
      <c r="C85" s="41" t="n"/>
      <c r="D85" s="42" t="n"/>
      <c r="E85" s="41" t="n"/>
      <c r="F85" s="41">
        <f>IFERROR(INDEX(销售员主数据!$B$2:$B$101,MATCH($E85,销售员主数据!$A$2:$A$101,0)),"")</f>
        <v/>
      </c>
      <c r="G85" s="41">
        <f>IFERROR(INDEX(销售员主数据!$C$2:$C$101,MATCH($E85,销售员主数据!$A$2:$A$101,0)),"")</f>
        <v/>
      </c>
      <c r="H85" s="41">
        <f>IFERROR(INDEX(销售员主数据!$D$2:$D$101,MATCH($E85,销售员主数据!$A$2:$A$101,0)),"")</f>
        <v/>
      </c>
      <c r="I85" s="43" t="n"/>
      <c r="J85" s="43" t="n"/>
      <c r="K85" s="44" t="n"/>
      <c r="L85" s="58" t="n"/>
      <c r="M85" s="59" t="n"/>
      <c r="N85" s="60">
        <f>IF(COUNTBLANK(A85:L85)=12,"",1)</f>
        <v/>
      </c>
      <c r="O85" s="42" t="n"/>
    </row>
    <row r="86" ht="15" customHeight="1" s="34">
      <c r="A86" s="46" t="n"/>
      <c r="B86" s="39">
        <f>IF(A86="","",TEXT(A86,"mmm"))</f>
        <v/>
      </c>
      <c r="C86" s="39" t="n"/>
      <c r="D86" s="40" t="n"/>
      <c r="E86" s="39" t="n"/>
      <c r="F86" s="39">
        <f>IFERROR(INDEX(销售员主数据!$B$2:$B$101,MATCH($E86,销售员主数据!$A$2:$A$101,0)),"")</f>
        <v/>
      </c>
      <c r="G86" s="39">
        <f>IFERROR(INDEX(销售员主数据!$C$2:$C$101,MATCH($E86,销售员主数据!$A$2:$A$101,0)),"")</f>
        <v/>
      </c>
      <c r="H86" s="39">
        <f>IFERROR(INDEX(销售员主数据!$D$2:$D$101,MATCH($E86,销售员主数据!$A$2:$A$101,0)),"")</f>
        <v/>
      </c>
      <c r="I86" s="50" t="n"/>
      <c r="J86" s="50" t="n"/>
      <c r="K86" s="54" t="n"/>
      <c r="L86" s="55" t="n"/>
      <c r="M86" s="56" t="n"/>
      <c r="N86" s="57">
        <f>IF(COUNTBLANK(A86:L86)=12,"",1)</f>
        <v/>
      </c>
      <c r="O86" s="40" t="n"/>
    </row>
    <row r="87" ht="15" customHeight="1" s="34">
      <c r="A87" s="48" t="n"/>
      <c r="B87" s="41">
        <f>IF(A87="","",TEXT(A87,"mmm"))</f>
        <v/>
      </c>
      <c r="C87" s="41" t="n"/>
      <c r="D87" s="42" t="n"/>
      <c r="E87" s="41" t="n"/>
      <c r="F87" s="41">
        <f>IFERROR(INDEX(销售员主数据!$B$2:$B$101,MATCH($E87,销售员主数据!$A$2:$A$101,0)),"")</f>
        <v/>
      </c>
      <c r="G87" s="41">
        <f>IFERROR(INDEX(销售员主数据!$C$2:$C$101,MATCH($E87,销售员主数据!$A$2:$A$101,0)),"")</f>
        <v/>
      </c>
      <c r="H87" s="41">
        <f>IFERROR(INDEX(销售员主数据!$D$2:$D$101,MATCH($E87,销售员主数据!$A$2:$A$101,0)),"")</f>
        <v/>
      </c>
      <c r="I87" s="43" t="n"/>
      <c r="J87" s="43" t="n"/>
      <c r="K87" s="44" t="n"/>
      <c r="L87" s="58" t="n"/>
      <c r="M87" s="59" t="n"/>
      <c r="N87" s="60">
        <f>IF(COUNTBLANK(A87:L87)=12,"",1)</f>
        <v/>
      </c>
      <c r="O87" s="42" t="n"/>
    </row>
    <row r="88" ht="15" customHeight="1" s="34">
      <c r="A88" s="46" t="n"/>
      <c r="B88" s="39">
        <f>IF(A88="","",TEXT(A88,"mmm"))</f>
        <v/>
      </c>
      <c r="C88" s="39" t="n"/>
      <c r="D88" s="40" t="n"/>
      <c r="E88" s="39" t="n"/>
      <c r="F88" s="39">
        <f>IFERROR(INDEX(销售员主数据!$B$2:$B$101,MATCH($E88,销售员主数据!$A$2:$A$101,0)),"")</f>
        <v/>
      </c>
      <c r="G88" s="39">
        <f>IFERROR(INDEX(销售员主数据!$C$2:$C$101,MATCH($E88,销售员主数据!$A$2:$A$101,0)),"")</f>
        <v/>
      </c>
      <c r="H88" s="39">
        <f>IFERROR(INDEX(销售员主数据!$D$2:$D$101,MATCH($E88,销售员主数据!$A$2:$A$101,0)),"")</f>
        <v/>
      </c>
      <c r="I88" s="50" t="n"/>
      <c r="J88" s="50" t="n"/>
      <c r="K88" s="54" t="n"/>
      <c r="L88" s="55" t="n"/>
      <c r="M88" s="56" t="n"/>
      <c r="N88" s="57">
        <f>IF(COUNTBLANK(A88:L88)=12,"",1)</f>
        <v/>
      </c>
      <c r="O88" s="40" t="n"/>
    </row>
    <row r="89" ht="15" customHeight="1" s="34">
      <c r="A89" s="48" t="n"/>
      <c r="B89" s="41">
        <f>IF(A89="","",TEXT(A89,"mmm"))</f>
        <v/>
      </c>
      <c r="C89" s="41" t="n"/>
      <c r="D89" s="42" t="n"/>
      <c r="E89" s="41" t="n"/>
      <c r="F89" s="41">
        <f>IFERROR(INDEX(销售员主数据!$B$2:$B$101,MATCH($E89,销售员主数据!$A$2:$A$101,0)),"")</f>
        <v/>
      </c>
      <c r="G89" s="41">
        <f>IFERROR(INDEX(销售员主数据!$C$2:$C$101,MATCH($E89,销售员主数据!$A$2:$A$101,0)),"")</f>
        <v/>
      </c>
      <c r="H89" s="41">
        <f>IFERROR(INDEX(销售员主数据!$D$2:$D$101,MATCH($E89,销售员主数据!$A$2:$A$101,0)),"")</f>
        <v/>
      </c>
      <c r="I89" s="43" t="n"/>
      <c r="J89" s="43" t="n"/>
      <c r="K89" s="44" t="n"/>
      <c r="L89" s="58" t="n"/>
      <c r="M89" s="59" t="n"/>
      <c r="N89" s="60">
        <f>IF(COUNTBLANK(A89:L89)=12,"",1)</f>
        <v/>
      </c>
      <c r="O89" s="42" t="n"/>
    </row>
    <row r="90" ht="15" customHeight="1" s="34">
      <c r="A90" s="46" t="n"/>
      <c r="B90" s="39">
        <f>IF(A90="","",TEXT(A90,"mmm"))</f>
        <v/>
      </c>
      <c r="C90" s="39" t="n"/>
      <c r="D90" s="40" t="n"/>
      <c r="E90" s="39" t="n"/>
      <c r="F90" s="39">
        <f>IFERROR(INDEX(销售员主数据!$B$2:$B$101,MATCH($E90,销售员主数据!$A$2:$A$101,0)),"")</f>
        <v/>
      </c>
      <c r="G90" s="39">
        <f>IFERROR(INDEX(销售员主数据!$C$2:$C$101,MATCH($E90,销售员主数据!$A$2:$A$101,0)),"")</f>
        <v/>
      </c>
      <c r="H90" s="39">
        <f>IFERROR(INDEX(销售员主数据!$D$2:$D$101,MATCH($E90,销售员主数据!$A$2:$A$101,0)),"")</f>
        <v/>
      </c>
      <c r="I90" s="50" t="n"/>
      <c r="J90" s="50" t="n"/>
      <c r="K90" s="54" t="n"/>
      <c r="L90" s="55" t="n"/>
      <c r="M90" s="56" t="n"/>
      <c r="N90" s="57">
        <f>IF(COUNTBLANK(A90:L90)=12,"",1)</f>
        <v/>
      </c>
      <c r="O90" s="40" t="n"/>
    </row>
    <row r="91" ht="15" customHeight="1" s="34">
      <c r="A91" s="48" t="n"/>
      <c r="B91" s="41">
        <f>IF(A91="","",TEXT(A91,"mmm"))</f>
        <v/>
      </c>
      <c r="C91" s="41" t="n"/>
      <c r="D91" s="42" t="n"/>
      <c r="E91" s="41" t="n"/>
      <c r="F91" s="41">
        <f>IFERROR(INDEX(销售员主数据!$B$2:$B$101,MATCH($E91,销售员主数据!$A$2:$A$101,0)),"")</f>
        <v/>
      </c>
      <c r="G91" s="41">
        <f>IFERROR(INDEX(销售员主数据!$C$2:$C$101,MATCH($E91,销售员主数据!$A$2:$A$101,0)),"")</f>
        <v/>
      </c>
      <c r="H91" s="41">
        <f>IFERROR(INDEX(销售员主数据!$D$2:$D$101,MATCH($E91,销售员主数据!$A$2:$A$101,0)),"")</f>
        <v/>
      </c>
      <c r="I91" s="43" t="n"/>
      <c r="J91" s="43" t="n"/>
      <c r="K91" s="44" t="n"/>
      <c r="L91" s="58" t="n"/>
      <c r="M91" s="59" t="n"/>
      <c r="N91" s="60">
        <f>IF(COUNTBLANK(A91:L91)=12,"",1)</f>
        <v/>
      </c>
      <c r="O91" s="42" t="n"/>
    </row>
    <row r="92" ht="15" customHeight="1" s="34">
      <c r="A92" s="46" t="n"/>
      <c r="B92" s="39">
        <f>IF(A92="","",TEXT(A92,"mmm"))</f>
        <v/>
      </c>
      <c r="C92" s="39" t="n"/>
      <c r="D92" s="40" t="n"/>
      <c r="E92" s="39" t="n"/>
      <c r="F92" s="39">
        <f>IFERROR(INDEX(销售员主数据!$B$2:$B$101,MATCH($E92,销售员主数据!$A$2:$A$101,0)),"")</f>
        <v/>
      </c>
      <c r="G92" s="39">
        <f>IFERROR(INDEX(销售员主数据!$C$2:$C$101,MATCH($E92,销售员主数据!$A$2:$A$101,0)),"")</f>
        <v/>
      </c>
      <c r="H92" s="39">
        <f>IFERROR(INDEX(销售员主数据!$D$2:$D$101,MATCH($E92,销售员主数据!$A$2:$A$101,0)),"")</f>
        <v/>
      </c>
      <c r="I92" s="50" t="n"/>
      <c r="J92" s="50" t="n"/>
      <c r="K92" s="54" t="n"/>
      <c r="L92" s="55" t="n"/>
      <c r="M92" s="56" t="n"/>
      <c r="N92" s="57">
        <f>IF(COUNTBLANK(A92:L92)=12,"",1)</f>
        <v/>
      </c>
      <c r="O92" s="40" t="n"/>
    </row>
    <row r="93" ht="15" customHeight="1" s="34">
      <c r="A93" s="48" t="n"/>
      <c r="B93" s="41">
        <f>IF(A93="","",TEXT(A93,"mmm"))</f>
        <v/>
      </c>
      <c r="C93" s="41" t="n"/>
      <c r="D93" s="42" t="n"/>
      <c r="E93" s="41" t="n"/>
      <c r="F93" s="41">
        <f>IFERROR(INDEX(销售员主数据!$B$2:$B$101,MATCH($E93,销售员主数据!$A$2:$A$101,0)),"")</f>
        <v/>
      </c>
      <c r="G93" s="41">
        <f>IFERROR(INDEX(销售员主数据!$C$2:$C$101,MATCH($E93,销售员主数据!$A$2:$A$101,0)),"")</f>
        <v/>
      </c>
      <c r="H93" s="41">
        <f>IFERROR(INDEX(销售员主数据!$D$2:$D$101,MATCH($E93,销售员主数据!$A$2:$A$101,0)),"")</f>
        <v/>
      </c>
      <c r="I93" s="43" t="n"/>
      <c r="J93" s="43" t="n"/>
      <c r="K93" s="44" t="n"/>
      <c r="L93" s="58" t="n"/>
      <c r="M93" s="59" t="n"/>
      <c r="N93" s="60">
        <f>IF(COUNTBLANK(A93:L93)=12,"",1)</f>
        <v/>
      </c>
      <c r="O93" s="42" t="n"/>
    </row>
    <row r="94" ht="15" customHeight="1" s="34">
      <c r="A94" s="46" t="n"/>
      <c r="B94" s="39">
        <f>IF(A94="","",TEXT(A94,"mmm"))</f>
        <v/>
      </c>
      <c r="C94" s="39" t="n"/>
      <c r="D94" s="40" t="n"/>
      <c r="E94" s="39" t="n"/>
      <c r="F94" s="39">
        <f>IFERROR(INDEX(销售员主数据!$B$2:$B$101,MATCH($E94,销售员主数据!$A$2:$A$101,0)),"")</f>
        <v/>
      </c>
      <c r="G94" s="39">
        <f>IFERROR(INDEX(销售员主数据!$C$2:$C$101,MATCH($E94,销售员主数据!$A$2:$A$101,0)),"")</f>
        <v/>
      </c>
      <c r="H94" s="39">
        <f>IFERROR(INDEX(销售员主数据!$D$2:$D$101,MATCH($E94,销售员主数据!$A$2:$A$101,0)),"")</f>
        <v/>
      </c>
      <c r="I94" s="50" t="n"/>
      <c r="J94" s="50" t="n"/>
      <c r="K94" s="54" t="n"/>
      <c r="L94" s="55" t="n"/>
      <c r="M94" s="56" t="n"/>
      <c r="N94" s="57">
        <f>IF(COUNTBLANK(A94:L94)=12,"",1)</f>
        <v/>
      </c>
      <c r="O94" s="40" t="n"/>
    </row>
    <row r="95" ht="15" customHeight="1" s="34">
      <c r="A95" s="48" t="n"/>
      <c r="B95" s="41">
        <f>IF(A95="","",TEXT(A95,"mmm"))</f>
        <v/>
      </c>
      <c r="C95" s="41" t="n"/>
      <c r="D95" s="42" t="n"/>
      <c r="E95" s="41" t="n"/>
      <c r="F95" s="41">
        <f>IFERROR(INDEX(销售员主数据!$B$2:$B$101,MATCH($E95,销售员主数据!$A$2:$A$101,0)),"")</f>
        <v/>
      </c>
      <c r="G95" s="41">
        <f>IFERROR(INDEX(销售员主数据!$C$2:$C$101,MATCH($E95,销售员主数据!$A$2:$A$101,0)),"")</f>
        <v/>
      </c>
      <c r="H95" s="41">
        <f>IFERROR(INDEX(销售员主数据!$D$2:$D$101,MATCH($E95,销售员主数据!$A$2:$A$101,0)),"")</f>
        <v/>
      </c>
      <c r="I95" s="43" t="n"/>
      <c r="J95" s="43" t="n"/>
      <c r="K95" s="44" t="n"/>
      <c r="L95" s="58" t="n"/>
      <c r="M95" s="59" t="n"/>
      <c r="N95" s="60">
        <f>IF(COUNTBLANK(A95:L95)=12,"",1)</f>
        <v/>
      </c>
      <c r="O95" s="42" t="n"/>
    </row>
    <row r="96" ht="15" customHeight="1" s="34">
      <c r="A96" s="46" t="n"/>
      <c r="B96" s="39">
        <f>IF(A96="","",TEXT(A96,"mmm"))</f>
        <v/>
      </c>
      <c r="C96" s="39" t="n"/>
      <c r="D96" s="40" t="n"/>
      <c r="E96" s="39" t="n"/>
      <c r="F96" s="39">
        <f>IFERROR(INDEX(销售员主数据!$B$2:$B$101,MATCH($E96,销售员主数据!$A$2:$A$101,0)),"")</f>
        <v/>
      </c>
      <c r="G96" s="39">
        <f>IFERROR(INDEX(销售员主数据!$C$2:$C$101,MATCH($E96,销售员主数据!$A$2:$A$101,0)),"")</f>
        <v/>
      </c>
      <c r="H96" s="39">
        <f>IFERROR(INDEX(销售员主数据!$D$2:$D$101,MATCH($E96,销售员主数据!$A$2:$A$101,0)),"")</f>
        <v/>
      </c>
      <c r="I96" s="50" t="n"/>
      <c r="J96" s="50" t="n"/>
      <c r="K96" s="54" t="n"/>
      <c r="L96" s="55" t="n"/>
      <c r="M96" s="56" t="n"/>
      <c r="N96" s="57">
        <f>IF(COUNTBLANK(A96:L96)=12,"",1)</f>
        <v/>
      </c>
      <c r="O96" s="40" t="n"/>
    </row>
    <row r="97" ht="15" customHeight="1" s="34">
      <c r="A97" s="48" t="n"/>
      <c r="B97" s="41">
        <f>IF(A97="","",TEXT(A97,"mmm"))</f>
        <v/>
      </c>
      <c r="C97" s="41" t="n"/>
      <c r="D97" s="42" t="n"/>
      <c r="E97" s="41" t="n"/>
      <c r="F97" s="41">
        <f>IFERROR(INDEX(销售员主数据!$B$2:$B$101,MATCH($E97,销售员主数据!$A$2:$A$101,0)),"")</f>
        <v/>
      </c>
      <c r="G97" s="41">
        <f>IFERROR(INDEX(销售员主数据!$C$2:$C$101,MATCH($E97,销售员主数据!$A$2:$A$101,0)),"")</f>
        <v/>
      </c>
      <c r="H97" s="41">
        <f>IFERROR(INDEX(销售员主数据!$D$2:$D$101,MATCH($E97,销售员主数据!$A$2:$A$101,0)),"")</f>
        <v/>
      </c>
      <c r="I97" s="43" t="n"/>
      <c r="J97" s="43" t="n"/>
      <c r="K97" s="44" t="n"/>
      <c r="L97" s="58" t="n"/>
      <c r="M97" s="59" t="n"/>
      <c r="N97" s="60">
        <f>IF(COUNTBLANK(A97:L97)=12,"",1)</f>
        <v/>
      </c>
      <c r="O97" s="42" t="n"/>
    </row>
    <row r="98" ht="15" customHeight="1" s="34">
      <c r="A98" s="46" t="n"/>
      <c r="B98" s="39">
        <f>IF(A98="","",TEXT(A98,"mmm"))</f>
        <v/>
      </c>
      <c r="C98" s="39" t="n"/>
      <c r="D98" s="40" t="n"/>
      <c r="E98" s="39" t="n"/>
      <c r="F98" s="39">
        <f>IFERROR(INDEX(销售员主数据!$B$2:$B$101,MATCH($E98,销售员主数据!$A$2:$A$101,0)),"")</f>
        <v/>
      </c>
      <c r="G98" s="39">
        <f>IFERROR(INDEX(销售员主数据!$C$2:$C$101,MATCH($E98,销售员主数据!$A$2:$A$101,0)),"")</f>
        <v/>
      </c>
      <c r="H98" s="39">
        <f>IFERROR(INDEX(销售员主数据!$D$2:$D$101,MATCH($E98,销售员主数据!$A$2:$A$101,0)),"")</f>
        <v/>
      </c>
      <c r="I98" s="50" t="n"/>
      <c r="J98" s="50" t="n"/>
      <c r="K98" s="54" t="n"/>
      <c r="L98" s="55" t="n"/>
      <c r="M98" s="56" t="n"/>
      <c r="N98" s="57">
        <f>IF(COUNTBLANK(A98:L98)=12,"",1)</f>
        <v/>
      </c>
      <c r="O98" s="40" t="n"/>
    </row>
    <row r="99" ht="15" customHeight="1" s="34">
      <c r="A99" s="48" t="n"/>
      <c r="B99" s="41">
        <f>IF(A99="","",TEXT(A99,"mmm"))</f>
        <v/>
      </c>
      <c r="C99" s="41" t="n"/>
      <c r="D99" s="42" t="n"/>
      <c r="E99" s="41" t="n"/>
      <c r="F99" s="41">
        <f>IFERROR(INDEX(销售员主数据!$B$2:$B$101,MATCH($E99,销售员主数据!$A$2:$A$101,0)),"")</f>
        <v/>
      </c>
      <c r="G99" s="41">
        <f>IFERROR(INDEX(销售员主数据!$C$2:$C$101,MATCH($E99,销售员主数据!$A$2:$A$101,0)),"")</f>
        <v/>
      </c>
      <c r="H99" s="41">
        <f>IFERROR(INDEX(销售员主数据!$D$2:$D$101,MATCH($E99,销售员主数据!$A$2:$A$101,0)),"")</f>
        <v/>
      </c>
      <c r="I99" s="43" t="n"/>
      <c r="J99" s="43" t="n"/>
      <c r="K99" s="44" t="n"/>
      <c r="L99" s="58" t="n"/>
      <c r="M99" s="59" t="n"/>
      <c r="N99" s="60">
        <f>IF(COUNTBLANK(A99:L99)=12,"",1)</f>
        <v/>
      </c>
      <c r="O99" s="42" t="n"/>
    </row>
    <row r="100" ht="15" customHeight="1" s="34">
      <c r="A100" s="46" t="n"/>
      <c r="B100" s="39">
        <f>IF(A100="","",TEXT(A100,"mmm"))</f>
        <v/>
      </c>
      <c r="C100" s="39" t="n"/>
      <c r="D100" s="40" t="n"/>
      <c r="E100" s="39" t="n"/>
      <c r="F100" s="39">
        <f>IFERROR(INDEX(销售员主数据!$B$2:$B$101,MATCH($E100,销售员主数据!$A$2:$A$101,0)),"")</f>
        <v/>
      </c>
      <c r="G100" s="39">
        <f>IFERROR(INDEX(销售员主数据!$C$2:$C$101,MATCH($E100,销售员主数据!$A$2:$A$101,0)),"")</f>
        <v/>
      </c>
      <c r="H100" s="39">
        <f>IFERROR(INDEX(销售员主数据!$D$2:$D$101,MATCH($E100,销售员主数据!$A$2:$A$101,0)),"")</f>
        <v/>
      </c>
      <c r="I100" s="50" t="n"/>
      <c r="J100" s="50" t="n"/>
      <c r="K100" s="54" t="n"/>
      <c r="L100" s="55" t="n"/>
      <c r="M100" s="56" t="n"/>
      <c r="N100" s="57">
        <f>IF(COUNTBLANK(A100:L100)=12,"",1)</f>
        <v/>
      </c>
      <c r="O100" s="40" t="n"/>
    </row>
    <row r="101" ht="15" customHeight="1" s="34">
      <c r="A101" s="48" t="n"/>
      <c r="B101" s="41">
        <f>IF(A101="","",TEXT(A101,"mmm"))</f>
        <v/>
      </c>
      <c r="C101" s="41" t="n"/>
      <c r="D101" s="42" t="n"/>
      <c r="E101" s="41" t="n"/>
      <c r="F101" s="41">
        <f>IFERROR(INDEX(销售员主数据!$B$2:$B$101,MATCH($E101,销售员主数据!$A$2:$A$101,0)),"")</f>
        <v/>
      </c>
      <c r="G101" s="41">
        <f>IFERROR(INDEX(销售员主数据!$C$2:$C$101,MATCH($E101,销售员主数据!$A$2:$A$101,0)),"")</f>
        <v/>
      </c>
      <c r="H101" s="41">
        <f>IFERROR(INDEX(销售员主数据!$D$2:$D$101,MATCH($E101,销售员主数据!$A$2:$A$101,0)),"")</f>
        <v/>
      </c>
      <c r="I101" s="43" t="n"/>
      <c r="J101" s="43" t="n"/>
      <c r="K101" s="44" t="n"/>
      <c r="L101" s="58" t="n"/>
      <c r="M101" s="59" t="n"/>
      <c r="N101" s="60">
        <f>IF(COUNTBLANK(A101:L101)=12,"",1)</f>
        <v/>
      </c>
      <c r="O101" s="42" t="n"/>
    </row>
    <row r="102" ht="15" customHeight="1" s="34">
      <c r="A102" s="46" t="n"/>
      <c r="B102" s="39">
        <f>IF(A102="","",TEXT(A102,"mmm"))</f>
        <v/>
      </c>
      <c r="C102" s="39" t="n"/>
      <c r="D102" s="40" t="n"/>
      <c r="E102" s="39" t="n"/>
      <c r="F102" s="39">
        <f>IFERROR(INDEX(销售员主数据!$B$2:$B$101,MATCH($E102,销售员主数据!$A$2:$A$101,0)),"")</f>
        <v/>
      </c>
      <c r="G102" s="39">
        <f>IFERROR(INDEX(销售员主数据!$C$2:$C$101,MATCH($E102,销售员主数据!$A$2:$A$101,0)),"")</f>
        <v/>
      </c>
      <c r="H102" s="39">
        <f>IFERROR(INDEX(销售员主数据!$D$2:$D$101,MATCH($E102,销售员主数据!$A$2:$A$101,0)),"")</f>
        <v/>
      </c>
      <c r="I102" s="50" t="n"/>
      <c r="J102" s="50" t="n"/>
      <c r="K102" s="54" t="n"/>
      <c r="L102" s="55" t="n"/>
      <c r="M102" s="56" t="n"/>
      <c r="N102" s="57">
        <f>IF(COUNTBLANK(A102:L102)=12,"",1)</f>
        <v/>
      </c>
      <c r="O102" s="40" t="n"/>
    </row>
    <row r="103" ht="15" customHeight="1" s="34">
      <c r="A103" s="48" t="n"/>
      <c r="B103" s="41">
        <f>IF(A103="","",TEXT(A103,"mmm"))</f>
        <v/>
      </c>
      <c r="C103" s="41" t="n"/>
      <c r="D103" s="42" t="n"/>
      <c r="E103" s="41" t="n"/>
      <c r="F103" s="41">
        <f>IFERROR(INDEX(销售员主数据!$B$2:$B$101,MATCH($E103,销售员主数据!$A$2:$A$101,0)),"")</f>
        <v/>
      </c>
      <c r="G103" s="41">
        <f>IFERROR(INDEX(销售员主数据!$C$2:$C$101,MATCH($E103,销售员主数据!$A$2:$A$101,0)),"")</f>
        <v/>
      </c>
      <c r="H103" s="41">
        <f>IFERROR(INDEX(销售员主数据!$D$2:$D$101,MATCH($E103,销售员主数据!$A$2:$A$101,0)),"")</f>
        <v/>
      </c>
      <c r="I103" s="43" t="n"/>
      <c r="J103" s="43" t="n"/>
      <c r="K103" s="44" t="n"/>
      <c r="L103" s="58" t="n"/>
      <c r="M103" s="59" t="n"/>
      <c r="N103" s="60">
        <f>IF(COUNTBLANK(A103:L103)=12,"",1)</f>
        <v/>
      </c>
      <c r="O103" s="42" t="n"/>
    </row>
    <row r="104" ht="15" customHeight="1" s="34">
      <c r="A104" s="46" t="n"/>
      <c r="B104" s="39">
        <f>IF(A104="","",TEXT(A104,"mmm"))</f>
        <v/>
      </c>
      <c r="C104" s="39" t="n"/>
      <c r="D104" s="40" t="n"/>
      <c r="E104" s="39" t="n"/>
      <c r="F104" s="39">
        <f>IFERROR(INDEX(销售员主数据!$B$2:$B$101,MATCH($E104,销售员主数据!$A$2:$A$101,0)),"")</f>
        <v/>
      </c>
      <c r="G104" s="39">
        <f>IFERROR(INDEX(销售员主数据!$C$2:$C$101,MATCH($E104,销售员主数据!$A$2:$A$101,0)),"")</f>
        <v/>
      </c>
      <c r="H104" s="39">
        <f>IFERROR(INDEX(销售员主数据!$D$2:$D$101,MATCH($E104,销售员主数据!$A$2:$A$101,0)),"")</f>
        <v/>
      </c>
      <c r="I104" s="50" t="n"/>
      <c r="J104" s="50" t="n"/>
      <c r="K104" s="54" t="n"/>
      <c r="L104" s="55" t="n"/>
      <c r="M104" s="56" t="n"/>
      <c r="N104" s="57">
        <f>IF(COUNTBLANK(A104:L104)=12,"",1)</f>
        <v/>
      </c>
      <c r="O104" s="40" t="n"/>
    </row>
    <row r="105" ht="15" customHeight="1" s="34">
      <c r="A105" s="48" t="n"/>
      <c r="B105" s="41">
        <f>IF(A105="","",TEXT(A105,"mmm"))</f>
        <v/>
      </c>
      <c r="C105" s="41" t="n"/>
      <c r="D105" s="42" t="n"/>
      <c r="E105" s="41" t="n"/>
      <c r="F105" s="41">
        <f>IFERROR(INDEX(销售员主数据!$B$2:$B$101,MATCH($E105,销售员主数据!$A$2:$A$101,0)),"")</f>
        <v/>
      </c>
      <c r="G105" s="41">
        <f>IFERROR(INDEX(销售员主数据!$C$2:$C$101,MATCH($E105,销售员主数据!$A$2:$A$101,0)),"")</f>
        <v/>
      </c>
      <c r="H105" s="41">
        <f>IFERROR(INDEX(销售员主数据!$D$2:$D$101,MATCH($E105,销售员主数据!$A$2:$A$101,0)),"")</f>
        <v/>
      </c>
      <c r="I105" s="43" t="n"/>
      <c r="J105" s="43" t="n"/>
      <c r="K105" s="44" t="n"/>
      <c r="L105" s="58" t="n"/>
      <c r="M105" s="59" t="n"/>
      <c r="N105" s="60">
        <f>IF(COUNTBLANK(A105:L105)=12,"",1)</f>
        <v/>
      </c>
      <c r="O105" s="42" t="n"/>
    </row>
    <row r="106" ht="15" customHeight="1" s="34">
      <c r="A106" s="46" t="n"/>
      <c r="B106" s="39">
        <f>IF(A106="","",TEXT(A106,"mmm"))</f>
        <v/>
      </c>
      <c r="C106" s="39" t="n"/>
      <c r="D106" s="40" t="n"/>
      <c r="E106" s="39" t="n"/>
      <c r="F106" s="39">
        <f>IFERROR(INDEX(销售员主数据!$B$2:$B$101,MATCH($E106,销售员主数据!$A$2:$A$101,0)),"")</f>
        <v/>
      </c>
      <c r="G106" s="39">
        <f>IFERROR(INDEX(销售员主数据!$C$2:$C$101,MATCH($E106,销售员主数据!$A$2:$A$101,0)),"")</f>
        <v/>
      </c>
      <c r="H106" s="39">
        <f>IFERROR(INDEX(销售员主数据!$D$2:$D$101,MATCH($E106,销售员主数据!$A$2:$A$101,0)),"")</f>
        <v/>
      </c>
      <c r="I106" s="50" t="n"/>
      <c r="J106" s="50" t="n"/>
      <c r="K106" s="54" t="n"/>
      <c r="L106" s="55" t="n"/>
      <c r="M106" s="56" t="n"/>
      <c r="N106" s="57">
        <f>IF(COUNTBLANK(A106:L106)=12,"",1)</f>
        <v/>
      </c>
      <c r="O106" s="40" t="n"/>
    </row>
    <row r="107" ht="15" customHeight="1" s="34">
      <c r="A107" s="48" t="n"/>
      <c r="B107" s="41">
        <f>IF(A107="","",TEXT(A107,"mmm"))</f>
        <v/>
      </c>
      <c r="C107" s="41" t="n"/>
      <c r="D107" s="42" t="n"/>
      <c r="E107" s="41" t="n"/>
      <c r="F107" s="41">
        <f>IFERROR(INDEX(销售员主数据!$B$2:$B$101,MATCH($E107,销售员主数据!$A$2:$A$101,0)),"")</f>
        <v/>
      </c>
      <c r="G107" s="41">
        <f>IFERROR(INDEX(销售员主数据!$C$2:$C$101,MATCH($E107,销售员主数据!$A$2:$A$101,0)),"")</f>
        <v/>
      </c>
      <c r="H107" s="41">
        <f>IFERROR(INDEX(销售员主数据!$D$2:$D$101,MATCH($E107,销售员主数据!$A$2:$A$101,0)),"")</f>
        <v/>
      </c>
      <c r="I107" s="43" t="n"/>
      <c r="J107" s="43" t="n"/>
      <c r="K107" s="44" t="n"/>
      <c r="L107" s="58" t="n"/>
      <c r="M107" s="59" t="n"/>
      <c r="N107" s="60">
        <f>IF(COUNTBLANK(A107:L107)=12,"",1)</f>
        <v/>
      </c>
      <c r="O107" s="42" t="n"/>
    </row>
    <row r="108" ht="15" customHeight="1" s="34">
      <c r="A108" s="46" t="n"/>
      <c r="B108" s="39">
        <f>IF(A108="","",TEXT(A108,"mmm"))</f>
        <v/>
      </c>
      <c r="C108" s="39" t="n"/>
      <c r="D108" s="40" t="n"/>
      <c r="E108" s="39" t="n"/>
      <c r="F108" s="39">
        <f>IFERROR(INDEX(销售员主数据!$B$2:$B$101,MATCH($E108,销售员主数据!$A$2:$A$101,0)),"")</f>
        <v/>
      </c>
      <c r="G108" s="39">
        <f>IFERROR(INDEX(销售员主数据!$C$2:$C$101,MATCH($E108,销售员主数据!$A$2:$A$101,0)),"")</f>
        <v/>
      </c>
      <c r="H108" s="39">
        <f>IFERROR(INDEX(销售员主数据!$D$2:$D$101,MATCH($E108,销售员主数据!$A$2:$A$101,0)),"")</f>
        <v/>
      </c>
      <c r="I108" s="50" t="n"/>
      <c r="J108" s="50" t="n"/>
      <c r="K108" s="54" t="n"/>
      <c r="L108" s="55" t="n"/>
      <c r="M108" s="56" t="n"/>
      <c r="N108" s="57">
        <f>IF(COUNTBLANK(A108:L108)=12,"",1)</f>
        <v/>
      </c>
      <c r="O108" s="40" t="n"/>
    </row>
    <row r="109" ht="15" customHeight="1" s="34">
      <c r="A109" s="48" t="n"/>
      <c r="B109" s="41">
        <f>IF(A109="","",TEXT(A109,"mmm"))</f>
        <v/>
      </c>
      <c r="C109" s="41" t="n"/>
      <c r="D109" s="42" t="n"/>
      <c r="E109" s="41" t="n"/>
      <c r="F109" s="41">
        <f>IFERROR(INDEX(销售员主数据!$B$2:$B$101,MATCH($E109,销售员主数据!$A$2:$A$101,0)),"")</f>
        <v/>
      </c>
      <c r="G109" s="41">
        <f>IFERROR(INDEX(销售员主数据!$C$2:$C$101,MATCH($E109,销售员主数据!$A$2:$A$101,0)),"")</f>
        <v/>
      </c>
      <c r="H109" s="41">
        <f>IFERROR(INDEX(销售员主数据!$D$2:$D$101,MATCH($E109,销售员主数据!$A$2:$A$101,0)),"")</f>
        <v/>
      </c>
      <c r="I109" s="43" t="n"/>
      <c r="J109" s="43" t="n"/>
      <c r="K109" s="44" t="n"/>
      <c r="L109" s="58" t="n"/>
      <c r="M109" s="59" t="n"/>
      <c r="N109" s="60">
        <f>IF(COUNTBLANK(A109:L109)=12,"",1)</f>
        <v/>
      </c>
      <c r="O109" s="42" t="n"/>
    </row>
    <row r="110" ht="15" customHeight="1" s="34">
      <c r="A110" s="46" t="n"/>
      <c r="B110" s="39">
        <f>IF(A110="","",TEXT(A110,"mmm"))</f>
        <v/>
      </c>
      <c r="C110" s="39" t="n"/>
      <c r="D110" s="40" t="n"/>
      <c r="E110" s="39" t="n"/>
      <c r="F110" s="39">
        <f>IFERROR(INDEX(销售员主数据!$B$2:$B$101,MATCH($E110,销售员主数据!$A$2:$A$101,0)),"")</f>
        <v/>
      </c>
      <c r="G110" s="39">
        <f>IFERROR(INDEX(销售员主数据!$C$2:$C$101,MATCH($E110,销售员主数据!$A$2:$A$101,0)),"")</f>
        <v/>
      </c>
      <c r="H110" s="39">
        <f>IFERROR(INDEX(销售员主数据!$D$2:$D$101,MATCH($E110,销售员主数据!$A$2:$A$101,0)),"")</f>
        <v/>
      </c>
      <c r="I110" s="50" t="n"/>
      <c r="J110" s="50" t="n"/>
      <c r="K110" s="54" t="n"/>
      <c r="L110" s="55" t="n"/>
      <c r="M110" s="56" t="n"/>
      <c r="N110" s="57">
        <f>IF(COUNTBLANK(A110:L110)=12,"",1)</f>
        <v/>
      </c>
      <c r="O110" s="40" t="n"/>
    </row>
    <row r="111" ht="15" customHeight="1" s="34">
      <c r="A111" s="48" t="n"/>
      <c r="B111" s="41">
        <f>IF(A111="","",TEXT(A111,"mmm"))</f>
        <v/>
      </c>
      <c r="C111" s="41" t="n"/>
      <c r="D111" s="42" t="n"/>
      <c r="E111" s="41" t="n"/>
      <c r="F111" s="41">
        <f>IFERROR(INDEX(销售员主数据!$B$2:$B$101,MATCH($E111,销售员主数据!$A$2:$A$101,0)),"")</f>
        <v/>
      </c>
      <c r="G111" s="41">
        <f>IFERROR(INDEX(销售员主数据!$C$2:$C$101,MATCH($E111,销售员主数据!$A$2:$A$101,0)),"")</f>
        <v/>
      </c>
      <c r="H111" s="41">
        <f>IFERROR(INDEX(销售员主数据!$D$2:$D$101,MATCH($E111,销售员主数据!$A$2:$A$101,0)),"")</f>
        <v/>
      </c>
      <c r="I111" s="43" t="n"/>
      <c r="J111" s="43" t="n"/>
      <c r="K111" s="44" t="n"/>
      <c r="L111" s="58" t="n"/>
      <c r="M111" s="59" t="n"/>
      <c r="N111" s="60">
        <f>IF(COUNTBLANK(A111:L111)=12,"",1)</f>
        <v/>
      </c>
      <c r="O111" s="42" t="n"/>
    </row>
    <row r="112" ht="15" customHeight="1" s="34">
      <c r="A112" s="46" t="n"/>
      <c r="B112" s="39">
        <f>IF(A112="","",TEXT(A112,"mmm"))</f>
        <v/>
      </c>
      <c r="C112" s="39" t="n"/>
      <c r="D112" s="40" t="n"/>
      <c r="E112" s="39" t="n"/>
      <c r="F112" s="39">
        <f>IFERROR(INDEX(销售员主数据!$B$2:$B$101,MATCH($E112,销售员主数据!$A$2:$A$101,0)),"")</f>
        <v/>
      </c>
      <c r="G112" s="39">
        <f>IFERROR(INDEX(销售员主数据!$C$2:$C$101,MATCH($E112,销售员主数据!$A$2:$A$101,0)),"")</f>
        <v/>
      </c>
      <c r="H112" s="39">
        <f>IFERROR(INDEX(销售员主数据!$D$2:$D$101,MATCH($E112,销售员主数据!$A$2:$A$101,0)),"")</f>
        <v/>
      </c>
      <c r="I112" s="50" t="n"/>
      <c r="J112" s="50" t="n"/>
      <c r="K112" s="54" t="n"/>
      <c r="L112" s="55" t="n"/>
      <c r="M112" s="56" t="n"/>
      <c r="N112" s="57">
        <f>IF(COUNTBLANK(A112:L112)=12,"",1)</f>
        <v/>
      </c>
      <c r="O112" s="40" t="n"/>
    </row>
    <row r="113" ht="15" customHeight="1" s="34">
      <c r="A113" s="48" t="n"/>
      <c r="B113" s="41">
        <f>IF(A113="","",TEXT(A113,"mmm"))</f>
        <v/>
      </c>
      <c r="C113" s="41" t="n"/>
      <c r="D113" s="42" t="n"/>
      <c r="E113" s="41" t="n"/>
      <c r="F113" s="41">
        <f>IFERROR(INDEX(销售员主数据!$B$2:$B$101,MATCH($E113,销售员主数据!$A$2:$A$101,0)),"")</f>
        <v/>
      </c>
      <c r="G113" s="41">
        <f>IFERROR(INDEX(销售员主数据!$C$2:$C$101,MATCH($E113,销售员主数据!$A$2:$A$101,0)),"")</f>
        <v/>
      </c>
      <c r="H113" s="41">
        <f>IFERROR(INDEX(销售员主数据!$D$2:$D$101,MATCH($E113,销售员主数据!$A$2:$A$101,0)),"")</f>
        <v/>
      </c>
      <c r="I113" s="43" t="n"/>
      <c r="J113" s="43" t="n"/>
      <c r="K113" s="44" t="n"/>
      <c r="L113" s="58" t="n"/>
      <c r="M113" s="59" t="n"/>
      <c r="N113" s="60">
        <f>IF(COUNTBLANK(A113:L113)=12,"",1)</f>
        <v/>
      </c>
      <c r="O113" s="42" t="n"/>
    </row>
    <row r="114" ht="15" customHeight="1" s="34">
      <c r="A114" s="46" t="n"/>
      <c r="B114" s="39">
        <f>IF(A114="","",TEXT(A114,"mmm"))</f>
        <v/>
      </c>
      <c r="C114" s="39" t="n"/>
      <c r="D114" s="40" t="n"/>
      <c r="E114" s="39" t="n"/>
      <c r="F114" s="39">
        <f>IFERROR(INDEX(销售员主数据!$B$2:$B$101,MATCH($E114,销售员主数据!$A$2:$A$101,0)),"")</f>
        <v/>
      </c>
      <c r="G114" s="39">
        <f>IFERROR(INDEX(销售员主数据!$C$2:$C$101,MATCH($E114,销售员主数据!$A$2:$A$101,0)),"")</f>
        <v/>
      </c>
      <c r="H114" s="39">
        <f>IFERROR(INDEX(销售员主数据!$D$2:$D$101,MATCH($E114,销售员主数据!$A$2:$A$101,0)),"")</f>
        <v/>
      </c>
      <c r="I114" s="50" t="n"/>
      <c r="J114" s="50" t="n"/>
      <c r="K114" s="54" t="n"/>
      <c r="L114" s="55" t="n"/>
      <c r="M114" s="56" t="n"/>
      <c r="N114" s="57">
        <f>IF(COUNTBLANK(A114:L114)=12,"",1)</f>
        <v/>
      </c>
      <c r="O114" s="40" t="n"/>
    </row>
    <row r="115" ht="15" customHeight="1" s="34">
      <c r="A115" s="48" t="n"/>
      <c r="B115" s="41">
        <f>IF(A115="","",TEXT(A115,"mmm"))</f>
        <v/>
      </c>
      <c r="C115" s="41" t="n"/>
      <c r="D115" s="42" t="n"/>
      <c r="E115" s="41" t="n"/>
      <c r="F115" s="41">
        <f>IFERROR(INDEX(销售员主数据!$B$2:$B$101,MATCH($E115,销售员主数据!$A$2:$A$101,0)),"")</f>
        <v/>
      </c>
      <c r="G115" s="41">
        <f>IFERROR(INDEX(销售员主数据!$C$2:$C$101,MATCH($E115,销售员主数据!$A$2:$A$101,0)),"")</f>
        <v/>
      </c>
      <c r="H115" s="41">
        <f>IFERROR(INDEX(销售员主数据!$D$2:$D$101,MATCH($E115,销售员主数据!$A$2:$A$101,0)),"")</f>
        <v/>
      </c>
      <c r="I115" s="43" t="n"/>
      <c r="J115" s="43" t="n"/>
      <c r="K115" s="44" t="n"/>
      <c r="L115" s="58" t="n"/>
      <c r="M115" s="59" t="n"/>
      <c r="N115" s="60">
        <f>IF(COUNTBLANK(A115:L115)=12,"",1)</f>
        <v/>
      </c>
      <c r="O115" s="42" t="n"/>
    </row>
    <row r="116" ht="15" customHeight="1" s="34">
      <c r="A116" s="46" t="n"/>
      <c r="B116" s="39">
        <f>IF(A116="","",TEXT(A116,"mmm"))</f>
        <v/>
      </c>
      <c r="C116" s="39" t="n"/>
      <c r="D116" s="40" t="n"/>
      <c r="E116" s="39" t="n"/>
      <c r="F116" s="39">
        <f>IFERROR(INDEX(销售员主数据!$B$2:$B$101,MATCH($E116,销售员主数据!$A$2:$A$101,0)),"")</f>
        <v/>
      </c>
      <c r="G116" s="39">
        <f>IFERROR(INDEX(销售员主数据!$C$2:$C$101,MATCH($E116,销售员主数据!$A$2:$A$101,0)),"")</f>
        <v/>
      </c>
      <c r="H116" s="39">
        <f>IFERROR(INDEX(销售员主数据!$D$2:$D$101,MATCH($E116,销售员主数据!$A$2:$A$101,0)),"")</f>
        <v/>
      </c>
      <c r="I116" s="50" t="n"/>
      <c r="J116" s="50" t="n"/>
      <c r="K116" s="54" t="n"/>
      <c r="L116" s="55" t="n"/>
      <c r="M116" s="56" t="n"/>
      <c r="N116" s="57">
        <f>IF(COUNTBLANK(A116:L116)=12,"",1)</f>
        <v/>
      </c>
      <c r="O116" s="40" t="n"/>
    </row>
    <row r="117" ht="15" customHeight="1" s="34">
      <c r="A117" s="48" t="n"/>
      <c r="B117" s="41">
        <f>IF(A117="","",TEXT(A117,"mmm"))</f>
        <v/>
      </c>
      <c r="C117" s="41" t="n"/>
      <c r="D117" s="42" t="n"/>
      <c r="E117" s="41" t="n"/>
      <c r="F117" s="41">
        <f>IFERROR(INDEX(销售员主数据!$B$2:$B$101,MATCH($E117,销售员主数据!$A$2:$A$101,0)),"")</f>
        <v/>
      </c>
      <c r="G117" s="41">
        <f>IFERROR(INDEX(销售员主数据!$C$2:$C$101,MATCH($E117,销售员主数据!$A$2:$A$101,0)),"")</f>
        <v/>
      </c>
      <c r="H117" s="41">
        <f>IFERROR(INDEX(销售员主数据!$D$2:$D$101,MATCH($E117,销售员主数据!$A$2:$A$101,0)),"")</f>
        <v/>
      </c>
      <c r="I117" s="43" t="n"/>
      <c r="J117" s="43" t="n"/>
      <c r="K117" s="44" t="n"/>
      <c r="L117" s="58" t="n"/>
      <c r="M117" s="59" t="n"/>
      <c r="N117" s="60">
        <f>IF(COUNTBLANK(A117:L117)=12,"",1)</f>
        <v/>
      </c>
      <c r="O117" s="42" t="n"/>
    </row>
    <row r="118" ht="15" customHeight="1" s="34">
      <c r="A118" s="46" t="n"/>
      <c r="B118" s="39">
        <f>IF(A118="","",TEXT(A118,"mmm"))</f>
        <v/>
      </c>
      <c r="C118" s="39" t="n"/>
      <c r="D118" s="40" t="n"/>
      <c r="E118" s="39" t="n"/>
      <c r="F118" s="39">
        <f>IFERROR(INDEX(销售员主数据!$B$2:$B$101,MATCH($E118,销售员主数据!$A$2:$A$101,0)),"")</f>
        <v/>
      </c>
      <c r="G118" s="39">
        <f>IFERROR(INDEX(销售员主数据!$C$2:$C$101,MATCH($E118,销售员主数据!$A$2:$A$101,0)),"")</f>
        <v/>
      </c>
      <c r="H118" s="39">
        <f>IFERROR(INDEX(销售员主数据!$D$2:$D$101,MATCH($E118,销售员主数据!$A$2:$A$101,0)),"")</f>
        <v/>
      </c>
      <c r="I118" s="50" t="n"/>
      <c r="J118" s="50" t="n"/>
      <c r="K118" s="54" t="n"/>
      <c r="L118" s="55" t="n"/>
      <c r="M118" s="56" t="n"/>
      <c r="N118" s="57">
        <f>IF(COUNTBLANK(A118:L118)=12,"",1)</f>
        <v/>
      </c>
      <c r="O118" s="40" t="n"/>
    </row>
    <row r="119" ht="15" customHeight="1" s="34">
      <c r="A119" s="48" t="n"/>
      <c r="B119" s="41">
        <f>IF(A119="","",TEXT(A119,"mmm"))</f>
        <v/>
      </c>
      <c r="C119" s="41" t="n"/>
      <c r="D119" s="42" t="n"/>
      <c r="E119" s="41" t="n"/>
      <c r="F119" s="41">
        <f>IFERROR(INDEX(销售员主数据!$B$2:$B$101,MATCH($E119,销售员主数据!$A$2:$A$101,0)),"")</f>
        <v/>
      </c>
      <c r="G119" s="41">
        <f>IFERROR(INDEX(销售员主数据!$C$2:$C$101,MATCH($E119,销售员主数据!$A$2:$A$101,0)),"")</f>
        <v/>
      </c>
      <c r="H119" s="41">
        <f>IFERROR(INDEX(销售员主数据!$D$2:$D$101,MATCH($E119,销售员主数据!$A$2:$A$101,0)),"")</f>
        <v/>
      </c>
      <c r="I119" s="43" t="n"/>
      <c r="J119" s="43" t="n"/>
      <c r="K119" s="44" t="n"/>
      <c r="L119" s="58" t="n"/>
      <c r="M119" s="59" t="n"/>
      <c r="N119" s="60">
        <f>IF(COUNTBLANK(A119:L119)=12,"",1)</f>
        <v/>
      </c>
      <c r="O119" s="42" t="n"/>
    </row>
    <row r="120" ht="15" customHeight="1" s="34">
      <c r="A120" s="46" t="n"/>
      <c r="B120" s="39">
        <f>IF(A120="","",TEXT(A120,"mmm"))</f>
        <v/>
      </c>
      <c r="C120" s="39" t="n"/>
      <c r="D120" s="40" t="n"/>
      <c r="E120" s="39" t="n"/>
      <c r="F120" s="39">
        <f>IFERROR(INDEX(销售员主数据!$B$2:$B$101,MATCH($E120,销售员主数据!$A$2:$A$101,0)),"")</f>
        <v/>
      </c>
      <c r="G120" s="39">
        <f>IFERROR(INDEX(销售员主数据!$C$2:$C$101,MATCH($E120,销售员主数据!$A$2:$A$101,0)),"")</f>
        <v/>
      </c>
      <c r="H120" s="39">
        <f>IFERROR(INDEX(销售员主数据!$D$2:$D$101,MATCH($E120,销售员主数据!$A$2:$A$101,0)),"")</f>
        <v/>
      </c>
      <c r="I120" s="50" t="n"/>
      <c r="J120" s="50" t="n"/>
      <c r="K120" s="54" t="n"/>
      <c r="L120" s="55" t="n"/>
      <c r="M120" s="56" t="n"/>
      <c r="N120" s="57">
        <f>IF(COUNTBLANK(A120:L120)=12,"",1)</f>
        <v/>
      </c>
      <c r="O120" s="40" t="n"/>
    </row>
    <row r="121" ht="15" customHeight="1" s="34">
      <c r="A121" s="48" t="n"/>
      <c r="B121" s="41">
        <f>IF(A121="","",TEXT(A121,"mmm"))</f>
        <v/>
      </c>
      <c r="C121" s="41" t="n"/>
      <c r="D121" s="42" t="n"/>
      <c r="E121" s="41" t="n"/>
      <c r="F121" s="41">
        <f>IFERROR(INDEX(销售员主数据!$B$2:$B$101,MATCH($E121,销售员主数据!$A$2:$A$101,0)),"")</f>
        <v/>
      </c>
      <c r="G121" s="41">
        <f>IFERROR(INDEX(销售员主数据!$C$2:$C$101,MATCH($E121,销售员主数据!$A$2:$A$101,0)),"")</f>
        <v/>
      </c>
      <c r="H121" s="41">
        <f>IFERROR(INDEX(销售员主数据!$D$2:$D$101,MATCH($E121,销售员主数据!$A$2:$A$101,0)),"")</f>
        <v/>
      </c>
      <c r="I121" s="43" t="n"/>
      <c r="J121" s="43" t="n"/>
      <c r="K121" s="44" t="n"/>
      <c r="L121" s="58" t="n"/>
      <c r="M121" s="59" t="n"/>
      <c r="N121" s="60">
        <f>IF(COUNTBLANK(A121:L121)=12,"",1)</f>
        <v/>
      </c>
      <c r="O121" s="42" t="n"/>
    </row>
    <row r="122" ht="15" customHeight="1" s="34">
      <c r="A122" s="46" t="n"/>
      <c r="B122" s="39">
        <f>IF(A122="","",TEXT(A122,"mmm"))</f>
        <v/>
      </c>
      <c r="C122" s="39" t="n"/>
      <c r="D122" s="40" t="n"/>
      <c r="E122" s="39" t="n"/>
      <c r="F122" s="39">
        <f>IFERROR(INDEX(销售员主数据!$B$2:$B$101,MATCH($E122,销售员主数据!$A$2:$A$101,0)),"")</f>
        <v/>
      </c>
      <c r="G122" s="39">
        <f>IFERROR(INDEX(销售员主数据!$C$2:$C$101,MATCH($E122,销售员主数据!$A$2:$A$101,0)),"")</f>
        <v/>
      </c>
      <c r="H122" s="39">
        <f>IFERROR(INDEX(销售员主数据!$D$2:$D$101,MATCH($E122,销售员主数据!$A$2:$A$101,0)),"")</f>
        <v/>
      </c>
      <c r="I122" s="50" t="n"/>
      <c r="J122" s="50" t="n"/>
      <c r="K122" s="54" t="n"/>
      <c r="L122" s="55" t="n"/>
      <c r="M122" s="56" t="n"/>
      <c r="N122" s="57">
        <f>IF(COUNTBLANK(A122:L122)=12,"",1)</f>
        <v/>
      </c>
      <c r="O122" s="40" t="n"/>
    </row>
    <row r="123" ht="15" customHeight="1" s="34">
      <c r="A123" s="48" t="n"/>
      <c r="B123" s="41">
        <f>IF(A123="","",TEXT(A123,"mmm"))</f>
        <v/>
      </c>
      <c r="C123" s="41" t="n"/>
      <c r="D123" s="42" t="n"/>
      <c r="E123" s="41" t="n"/>
      <c r="F123" s="41">
        <f>IFERROR(INDEX(销售员主数据!$B$2:$B$101,MATCH($E123,销售员主数据!$A$2:$A$101,0)),"")</f>
        <v/>
      </c>
      <c r="G123" s="41">
        <f>IFERROR(INDEX(销售员主数据!$C$2:$C$101,MATCH($E123,销售员主数据!$A$2:$A$101,0)),"")</f>
        <v/>
      </c>
      <c r="H123" s="41">
        <f>IFERROR(INDEX(销售员主数据!$D$2:$D$101,MATCH($E123,销售员主数据!$A$2:$A$101,0)),"")</f>
        <v/>
      </c>
      <c r="I123" s="43" t="n"/>
      <c r="J123" s="43" t="n"/>
      <c r="K123" s="44" t="n"/>
      <c r="L123" s="58" t="n"/>
      <c r="M123" s="59" t="n"/>
      <c r="N123" s="60">
        <f>IF(COUNTBLANK(A123:L123)=12,"",1)</f>
        <v/>
      </c>
      <c r="O123" s="42" t="n"/>
    </row>
    <row r="124" ht="15" customHeight="1" s="34">
      <c r="A124" s="46" t="n"/>
      <c r="B124" s="39">
        <f>IF(A124="","",TEXT(A124,"mmm"))</f>
        <v/>
      </c>
      <c r="C124" s="39" t="n"/>
      <c r="D124" s="40" t="n"/>
      <c r="E124" s="39" t="n"/>
      <c r="F124" s="39">
        <f>IFERROR(INDEX(销售员主数据!$B$2:$B$101,MATCH($E124,销售员主数据!$A$2:$A$101,0)),"")</f>
        <v/>
      </c>
      <c r="G124" s="39">
        <f>IFERROR(INDEX(销售员主数据!$C$2:$C$101,MATCH($E124,销售员主数据!$A$2:$A$101,0)),"")</f>
        <v/>
      </c>
      <c r="H124" s="39">
        <f>IFERROR(INDEX(销售员主数据!$D$2:$D$101,MATCH($E124,销售员主数据!$A$2:$A$101,0)),"")</f>
        <v/>
      </c>
      <c r="I124" s="50" t="n"/>
      <c r="J124" s="50" t="n"/>
      <c r="K124" s="54" t="n"/>
      <c r="L124" s="55" t="n"/>
      <c r="M124" s="56" t="n"/>
      <c r="N124" s="57">
        <f>IF(COUNTBLANK(A124:L124)=12,"",1)</f>
        <v/>
      </c>
      <c r="O124" s="40" t="n"/>
    </row>
    <row r="125" ht="15" customHeight="1" s="34">
      <c r="A125" s="48" t="n"/>
      <c r="B125" s="41">
        <f>IF(A125="","",TEXT(A125,"mmm"))</f>
        <v/>
      </c>
      <c r="C125" s="41" t="n"/>
      <c r="D125" s="42" t="n"/>
      <c r="E125" s="41" t="n"/>
      <c r="F125" s="41">
        <f>IFERROR(INDEX(销售员主数据!$B$2:$B$101,MATCH($E125,销售员主数据!$A$2:$A$101,0)),"")</f>
        <v/>
      </c>
      <c r="G125" s="41">
        <f>IFERROR(INDEX(销售员主数据!$C$2:$C$101,MATCH($E125,销售员主数据!$A$2:$A$101,0)),"")</f>
        <v/>
      </c>
      <c r="H125" s="41">
        <f>IFERROR(INDEX(销售员主数据!$D$2:$D$101,MATCH($E125,销售员主数据!$A$2:$A$101,0)),"")</f>
        <v/>
      </c>
      <c r="I125" s="43" t="n"/>
      <c r="J125" s="43" t="n"/>
      <c r="K125" s="44" t="n"/>
      <c r="L125" s="58" t="n"/>
      <c r="M125" s="59" t="n"/>
      <c r="N125" s="60">
        <f>IF(COUNTBLANK(A125:L125)=12,"",1)</f>
        <v/>
      </c>
      <c r="O125" s="42" t="n"/>
    </row>
    <row r="126" ht="15" customHeight="1" s="34">
      <c r="A126" s="46" t="n"/>
      <c r="B126" s="39">
        <f>IF(A126="","",TEXT(A126,"mmm"))</f>
        <v/>
      </c>
      <c r="C126" s="39" t="n"/>
      <c r="D126" s="40" t="n"/>
      <c r="E126" s="39" t="n"/>
      <c r="F126" s="39">
        <f>IFERROR(INDEX(销售员主数据!$B$2:$B$101,MATCH($E126,销售员主数据!$A$2:$A$101,0)),"")</f>
        <v/>
      </c>
      <c r="G126" s="39">
        <f>IFERROR(INDEX(销售员主数据!$C$2:$C$101,MATCH($E126,销售员主数据!$A$2:$A$101,0)),"")</f>
        <v/>
      </c>
      <c r="H126" s="39">
        <f>IFERROR(INDEX(销售员主数据!$D$2:$D$101,MATCH($E126,销售员主数据!$A$2:$A$101,0)),"")</f>
        <v/>
      </c>
      <c r="I126" s="50" t="n"/>
      <c r="J126" s="50" t="n"/>
      <c r="K126" s="54" t="n"/>
      <c r="L126" s="55" t="n"/>
      <c r="M126" s="56" t="n"/>
      <c r="N126" s="57">
        <f>IF(COUNTBLANK(A126:L126)=12,"",1)</f>
        <v/>
      </c>
      <c r="O126" s="40" t="n"/>
    </row>
    <row r="127" ht="15" customHeight="1" s="34">
      <c r="A127" s="48" t="n"/>
      <c r="B127" s="41">
        <f>IF(A127="","",TEXT(A127,"mmm"))</f>
        <v/>
      </c>
      <c r="C127" s="41" t="n"/>
      <c r="D127" s="42" t="n"/>
      <c r="E127" s="41" t="n"/>
      <c r="F127" s="41">
        <f>IFERROR(INDEX(销售员主数据!$B$2:$B$101,MATCH($E127,销售员主数据!$A$2:$A$101,0)),"")</f>
        <v/>
      </c>
      <c r="G127" s="41">
        <f>IFERROR(INDEX(销售员主数据!$C$2:$C$101,MATCH($E127,销售员主数据!$A$2:$A$101,0)),"")</f>
        <v/>
      </c>
      <c r="H127" s="41">
        <f>IFERROR(INDEX(销售员主数据!$D$2:$D$101,MATCH($E127,销售员主数据!$A$2:$A$101,0)),"")</f>
        <v/>
      </c>
      <c r="I127" s="43" t="n"/>
      <c r="J127" s="43" t="n"/>
      <c r="K127" s="44" t="n"/>
      <c r="L127" s="58" t="n"/>
      <c r="M127" s="59" t="n"/>
      <c r="N127" s="60">
        <f>IF(COUNTBLANK(A127:L127)=12,"",1)</f>
        <v/>
      </c>
      <c r="O127" s="42" t="n"/>
    </row>
    <row r="128" ht="15" customHeight="1" s="34">
      <c r="A128" s="46" t="n"/>
      <c r="B128" s="39">
        <f>IF(A128="","",TEXT(A128,"mmm"))</f>
        <v/>
      </c>
      <c r="C128" s="39" t="n"/>
      <c r="D128" s="40" t="n"/>
      <c r="E128" s="39" t="n"/>
      <c r="F128" s="39">
        <f>IFERROR(INDEX(销售员主数据!$B$2:$B$101,MATCH($E128,销售员主数据!$A$2:$A$101,0)),"")</f>
        <v/>
      </c>
      <c r="G128" s="39">
        <f>IFERROR(INDEX(销售员主数据!$C$2:$C$101,MATCH($E128,销售员主数据!$A$2:$A$101,0)),"")</f>
        <v/>
      </c>
      <c r="H128" s="39">
        <f>IFERROR(INDEX(销售员主数据!$D$2:$D$101,MATCH($E128,销售员主数据!$A$2:$A$101,0)),"")</f>
        <v/>
      </c>
      <c r="I128" s="50" t="n"/>
      <c r="J128" s="50" t="n"/>
      <c r="K128" s="54" t="n"/>
      <c r="L128" s="55" t="n"/>
      <c r="M128" s="56" t="n"/>
      <c r="N128" s="57">
        <f>IF(COUNTBLANK(A128:L128)=12,"",1)</f>
        <v/>
      </c>
      <c r="O128" s="40" t="n"/>
    </row>
    <row r="129" ht="15" customHeight="1" s="34">
      <c r="A129" s="48" t="n"/>
      <c r="B129" s="41">
        <f>IF(A129="","",TEXT(A129,"mmm"))</f>
        <v/>
      </c>
      <c r="C129" s="41" t="n"/>
      <c r="D129" s="42" t="n"/>
      <c r="E129" s="41" t="n"/>
      <c r="F129" s="41">
        <f>IFERROR(INDEX(销售员主数据!$B$2:$B$101,MATCH($E129,销售员主数据!$A$2:$A$101,0)),"")</f>
        <v/>
      </c>
      <c r="G129" s="41">
        <f>IFERROR(INDEX(销售员主数据!$C$2:$C$101,MATCH($E129,销售员主数据!$A$2:$A$101,0)),"")</f>
        <v/>
      </c>
      <c r="H129" s="41">
        <f>IFERROR(INDEX(销售员主数据!$D$2:$D$101,MATCH($E129,销售员主数据!$A$2:$A$101,0)),"")</f>
        <v/>
      </c>
      <c r="I129" s="43" t="n"/>
      <c r="J129" s="43" t="n"/>
      <c r="K129" s="44" t="n"/>
      <c r="L129" s="58" t="n"/>
      <c r="M129" s="59" t="n"/>
      <c r="N129" s="60">
        <f>IF(COUNTBLANK(A129:L129)=12,"",1)</f>
        <v/>
      </c>
      <c r="O129" s="42" t="n"/>
    </row>
    <row r="130" ht="15" customHeight="1" s="34">
      <c r="A130" s="46" t="n"/>
      <c r="B130" s="39">
        <f>IF(A130="","",TEXT(A130,"mmm"))</f>
        <v/>
      </c>
      <c r="C130" s="39" t="n"/>
      <c r="D130" s="40" t="n"/>
      <c r="E130" s="39" t="n"/>
      <c r="F130" s="39">
        <f>IFERROR(INDEX(销售员主数据!$B$2:$B$101,MATCH($E130,销售员主数据!$A$2:$A$101,0)),"")</f>
        <v/>
      </c>
      <c r="G130" s="39">
        <f>IFERROR(INDEX(销售员主数据!$C$2:$C$101,MATCH($E130,销售员主数据!$A$2:$A$101,0)),"")</f>
        <v/>
      </c>
      <c r="H130" s="39">
        <f>IFERROR(INDEX(销售员主数据!$D$2:$D$101,MATCH($E130,销售员主数据!$A$2:$A$101,0)),"")</f>
        <v/>
      </c>
      <c r="I130" s="50" t="n"/>
      <c r="J130" s="50" t="n"/>
      <c r="K130" s="54" t="n"/>
      <c r="L130" s="55" t="n"/>
      <c r="M130" s="56" t="n"/>
      <c r="N130" s="57">
        <f>IF(COUNTBLANK(A130:L130)=12,"",1)</f>
        <v/>
      </c>
      <c r="O130" s="40" t="n"/>
    </row>
    <row r="131" ht="15" customHeight="1" s="34">
      <c r="A131" s="48" t="n"/>
      <c r="B131" s="41">
        <f>IF(A131="","",TEXT(A131,"mmm"))</f>
        <v/>
      </c>
      <c r="C131" s="41" t="n"/>
      <c r="D131" s="42" t="n"/>
      <c r="E131" s="41" t="n"/>
      <c r="F131" s="41">
        <f>IFERROR(INDEX(销售员主数据!$B$2:$B$101,MATCH($E131,销售员主数据!$A$2:$A$101,0)),"")</f>
        <v/>
      </c>
      <c r="G131" s="41">
        <f>IFERROR(INDEX(销售员主数据!$C$2:$C$101,MATCH($E131,销售员主数据!$A$2:$A$101,0)),"")</f>
        <v/>
      </c>
      <c r="H131" s="41">
        <f>IFERROR(INDEX(销售员主数据!$D$2:$D$101,MATCH($E131,销售员主数据!$A$2:$A$101,0)),"")</f>
        <v/>
      </c>
      <c r="I131" s="43" t="n"/>
      <c r="J131" s="43" t="n"/>
      <c r="K131" s="44" t="n"/>
      <c r="L131" s="58" t="n"/>
      <c r="M131" s="59" t="n"/>
      <c r="N131" s="60">
        <f>IF(COUNTBLANK(A131:L131)=12,"",1)</f>
        <v/>
      </c>
      <c r="O131" s="42" t="n"/>
    </row>
    <row r="132" ht="15" customHeight="1" s="34">
      <c r="A132" s="46" t="n"/>
      <c r="B132" s="39">
        <f>IF(A132="","",TEXT(A132,"mmm"))</f>
        <v/>
      </c>
      <c r="C132" s="39" t="n"/>
      <c r="D132" s="40" t="n"/>
      <c r="E132" s="39" t="n"/>
      <c r="F132" s="39">
        <f>IFERROR(INDEX(销售员主数据!$B$2:$B$101,MATCH($E132,销售员主数据!$A$2:$A$101,0)),"")</f>
        <v/>
      </c>
      <c r="G132" s="39">
        <f>IFERROR(INDEX(销售员主数据!$C$2:$C$101,MATCH($E132,销售员主数据!$A$2:$A$101,0)),"")</f>
        <v/>
      </c>
      <c r="H132" s="39">
        <f>IFERROR(INDEX(销售员主数据!$D$2:$D$101,MATCH($E132,销售员主数据!$A$2:$A$101,0)),"")</f>
        <v/>
      </c>
      <c r="I132" s="50" t="n"/>
      <c r="J132" s="50" t="n"/>
      <c r="K132" s="54" t="n"/>
      <c r="L132" s="55" t="n"/>
      <c r="M132" s="56" t="n"/>
      <c r="N132" s="57">
        <f>IF(COUNTBLANK(A132:L132)=12,"",1)</f>
        <v/>
      </c>
      <c r="O132" s="40" t="n"/>
    </row>
    <row r="133" ht="15" customHeight="1" s="34">
      <c r="A133" s="48" t="n"/>
      <c r="B133" s="41">
        <f>IF(A133="","",TEXT(A133,"mmm"))</f>
        <v/>
      </c>
      <c r="C133" s="41" t="n"/>
      <c r="D133" s="42" t="n"/>
      <c r="E133" s="41" t="n"/>
      <c r="F133" s="41">
        <f>IFERROR(INDEX(销售员主数据!$B$2:$B$101,MATCH($E133,销售员主数据!$A$2:$A$101,0)),"")</f>
        <v/>
      </c>
      <c r="G133" s="41">
        <f>IFERROR(INDEX(销售员主数据!$C$2:$C$101,MATCH($E133,销售员主数据!$A$2:$A$101,0)),"")</f>
        <v/>
      </c>
      <c r="H133" s="41">
        <f>IFERROR(INDEX(销售员主数据!$D$2:$D$101,MATCH($E133,销售员主数据!$A$2:$A$101,0)),"")</f>
        <v/>
      </c>
      <c r="I133" s="43" t="n"/>
      <c r="J133" s="43" t="n"/>
      <c r="K133" s="44" t="n"/>
      <c r="L133" s="58" t="n"/>
      <c r="M133" s="59" t="n"/>
      <c r="N133" s="60">
        <f>IF(COUNTBLANK(A133:L133)=12,"",1)</f>
        <v/>
      </c>
      <c r="O133" s="42" t="n"/>
    </row>
    <row r="134" ht="15" customHeight="1" s="34">
      <c r="A134" s="46" t="n"/>
      <c r="B134" s="39">
        <f>IF(A134="","",TEXT(A134,"mmm"))</f>
        <v/>
      </c>
      <c r="C134" s="39" t="n"/>
      <c r="D134" s="40" t="n"/>
      <c r="E134" s="39" t="n"/>
      <c r="F134" s="39">
        <f>IFERROR(INDEX(销售员主数据!$B$2:$B$101,MATCH($E134,销售员主数据!$A$2:$A$101,0)),"")</f>
        <v/>
      </c>
      <c r="G134" s="39">
        <f>IFERROR(INDEX(销售员主数据!$C$2:$C$101,MATCH($E134,销售员主数据!$A$2:$A$101,0)),"")</f>
        <v/>
      </c>
      <c r="H134" s="39">
        <f>IFERROR(INDEX(销售员主数据!$D$2:$D$101,MATCH($E134,销售员主数据!$A$2:$A$101,0)),"")</f>
        <v/>
      </c>
      <c r="I134" s="50" t="n"/>
      <c r="J134" s="50" t="n"/>
      <c r="K134" s="54" t="n"/>
      <c r="L134" s="55" t="n"/>
      <c r="M134" s="56" t="n"/>
      <c r="N134" s="57">
        <f>IF(COUNTBLANK(A134:L134)=12,"",1)</f>
        <v/>
      </c>
      <c r="O134" s="40" t="n"/>
    </row>
    <row r="135" ht="15" customHeight="1" s="34">
      <c r="A135" s="48" t="n"/>
      <c r="B135" s="41">
        <f>IF(A135="","",TEXT(A135,"mmm"))</f>
        <v/>
      </c>
      <c r="C135" s="41" t="n"/>
      <c r="D135" s="42" t="n"/>
      <c r="E135" s="41" t="n"/>
      <c r="F135" s="41">
        <f>IFERROR(INDEX(销售员主数据!$B$2:$B$101,MATCH($E135,销售员主数据!$A$2:$A$101,0)),"")</f>
        <v/>
      </c>
      <c r="G135" s="41">
        <f>IFERROR(INDEX(销售员主数据!$C$2:$C$101,MATCH($E135,销售员主数据!$A$2:$A$101,0)),"")</f>
        <v/>
      </c>
      <c r="H135" s="41">
        <f>IFERROR(INDEX(销售员主数据!$D$2:$D$101,MATCH($E135,销售员主数据!$A$2:$A$101,0)),"")</f>
        <v/>
      </c>
      <c r="I135" s="43" t="n"/>
      <c r="J135" s="43" t="n"/>
      <c r="K135" s="44" t="n"/>
      <c r="L135" s="58" t="n"/>
      <c r="M135" s="59" t="n"/>
      <c r="N135" s="60">
        <f>IF(COUNTBLANK(A135:L135)=12,"",1)</f>
        <v/>
      </c>
      <c r="O135" s="42" t="n"/>
    </row>
    <row r="136" ht="15" customHeight="1" s="34">
      <c r="A136" s="46" t="n"/>
      <c r="B136" s="39">
        <f>IF(A136="","",TEXT(A136,"mmm"))</f>
        <v/>
      </c>
      <c r="C136" s="39" t="n"/>
      <c r="D136" s="40" t="n"/>
      <c r="E136" s="39" t="n"/>
      <c r="F136" s="39">
        <f>IFERROR(INDEX(销售员主数据!$B$2:$B$101,MATCH($E136,销售员主数据!$A$2:$A$101,0)),"")</f>
        <v/>
      </c>
      <c r="G136" s="39">
        <f>IFERROR(INDEX(销售员主数据!$C$2:$C$101,MATCH($E136,销售员主数据!$A$2:$A$101,0)),"")</f>
        <v/>
      </c>
      <c r="H136" s="39">
        <f>IFERROR(INDEX(销售员主数据!$D$2:$D$101,MATCH($E136,销售员主数据!$A$2:$A$101,0)),"")</f>
        <v/>
      </c>
      <c r="I136" s="50" t="n"/>
      <c r="J136" s="50" t="n"/>
      <c r="K136" s="54" t="n"/>
      <c r="L136" s="55" t="n"/>
      <c r="M136" s="56" t="n"/>
      <c r="N136" s="57">
        <f>IF(COUNTBLANK(A136:L136)=12,"",1)</f>
        <v/>
      </c>
      <c r="O136" s="40" t="n"/>
    </row>
    <row r="137" ht="15" customHeight="1" s="34">
      <c r="A137" s="48" t="n"/>
      <c r="B137" s="41">
        <f>IF(A137="","",TEXT(A137,"mmm"))</f>
        <v/>
      </c>
      <c r="C137" s="41" t="n"/>
      <c r="D137" s="42" t="n"/>
      <c r="E137" s="41" t="n"/>
      <c r="F137" s="41">
        <f>IFERROR(INDEX(销售员主数据!$B$2:$B$101,MATCH($E137,销售员主数据!$A$2:$A$101,0)),"")</f>
        <v/>
      </c>
      <c r="G137" s="41">
        <f>IFERROR(INDEX(销售员主数据!$C$2:$C$101,MATCH($E137,销售员主数据!$A$2:$A$101,0)),"")</f>
        <v/>
      </c>
      <c r="H137" s="41">
        <f>IFERROR(INDEX(销售员主数据!$D$2:$D$101,MATCH($E137,销售员主数据!$A$2:$A$101,0)),"")</f>
        <v/>
      </c>
      <c r="I137" s="43" t="n"/>
      <c r="J137" s="43" t="n"/>
      <c r="K137" s="44" t="n"/>
      <c r="L137" s="58" t="n"/>
      <c r="M137" s="59" t="n"/>
      <c r="N137" s="60">
        <f>IF(COUNTBLANK(A137:L137)=12,"",1)</f>
        <v/>
      </c>
      <c r="O137" s="42" t="n"/>
    </row>
    <row r="138" ht="15" customHeight="1" s="34">
      <c r="A138" s="46" t="n"/>
      <c r="B138" s="39">
        <f>IF(A138="","",TEXT(A138,"mmm"))</f>
        <v/>
      </c>
      <c r="C138" s="39" t="n"/>
      <c r="D138" s="40" t="n"/>
      <c r="E138" s="39" t="n"/>
      <c r="F138" s="39">
        <f>IFERROR(INDEX(销售员主数据!$B$2:$B$101,MATCH($E138,销售员主数据!$A$2:$A$101,0)),"")</f>
        <v/>
      </c>
      <c r="G138" s="39">
        <f>IFERROR(INDEX(销售员主数据!$C$2:$C$101,MATCH($E138,销售员主数据!$A$2:$A$101,0)),"")</f>
        <v/>
      </c>
      <c r="H138" s="39">
        <f>IFERROR(INDEX(销售员主数据!$D$2:$D$101,MATCH($E138,销售员主数据!$A$2:$A$101,0)),"")</f>
        <v/>
      </c>
      <c r="I138" s="50" t="n"/>
      <c r="J138" s="50" t="n"/>
      <c r="K138" s="54" t="n"/>
      <c r="L138" s="55" t="n"/>
      <c r="M138" s="56" t="n"/>
      <c r="N138" s="57">
        <f>IF(COUNTBLANK(A138:L138)=12,"",1)</f>
        <v/>
      </c>
      <c r="O138" s="40" t="n"/>
    </row>
    <row r="139" ht="15" customHeight="1" s="34">
      <c r="A139" s="48" t="n"/>
      <c r="B139" s="41">
        <f>IF(A139="","",TEXT(A139,"mmm"))</f>
        <v/>
      </c>
      <c r="C139" s="41" t="n"/>
      <c r="D139" s="42" t="n"/>
      <c r="E139" s="41" t="n"/>
      <c r="F139" s="41">
        <f>IFERROR(INDEX(销售员主数据!$B$2:$B$101,MATCH($E139,销售员主数据!$A$2:$A$101,0)),"")</f>
        <v/>
      </c>
      <c r="G139" s="41">
        <f>IFERROR(INDEX(销售员主数据!$C$2:$C$101,MATCH($E139,销售员主数据!$A$2:$A$101,0)),"")</f>
        <v/>
      </c>
      <c r="H139" s="41">
        <f>IFERROR(INDEX(销售员主数据!$D$2:$D$101,MATCH($E139,销售员主数据!$A$2:$A$101,0)),"")</f>
        <v/>
      </c>
      <c r="I139" s="43" t="n"/>
      <c r="J139" s="43" t="n"/>
      <c r="K139" s="44" t="n"/>
      <c r="L139" s="58" t="n"/>
      <c r="M139" s="59" t="n"/>
      <c r="N139" s="60">
        <f>IF(COUNTBLANK(A139:L139)=12,"",1)</f>
        <v/>
      </c>
      <c r="O139" s="42" t="n"/>
    </row>
    <row r="140" ht="15" customHeight="1" s="34">
      <c r="A140" s="46" t="n"/>
      <c r="B140" s="39">
        <f>IF(A140="","",TEXT(A140,"mmm"))</f>
        <v/>
      </c>
      <c r="C140" s="39" t="n"/>
      <c r="D140" s="40" t="n"/>
      <c r="E140" s="39" t="n"/>
      <c r="F140" s="39">
        <f>IFERROR(INDEX(销售员主数据!$B$2:$B$101,MATCH($E140,销售员主数据!$A$2:$A$101,0)),"")</f>
        <v/>
      </c>
      <c r="G140" s="39">
        <f>IFERROR(INDEX(销售员主数据!$C$2:$C$101,MATCH($E140,销售员主数据!$A$2:$A$101,0)),"")</f>
        <v/>
      </c>
      <c r="H140" s="39">
        <f>IFERROR(INDEX(销售员主数据!$D$2:$D$101,MATCH($E140,销售员主数据!$A$2:$A$101,0)),"")</f>
        <v/>
      </c>
      <c r="I140" s="50" t="n"/>
      <c r="J140" s="50" t="n"/>
      <c r="K140" s="54" t="n"/>
      <c r="L140" s="55" t="n"/>
      <c r="M140" s="56" t="n"/>
      <c r="N140" s="57">
        <f>IF(COUNTBLANK(A140:L140)=12,"",1)</f>
        <v/>
      </c>
      <c r="O140" s="40" t="n"/>
    </row>
    <row r="141" ht="15" customHeight="1" s="34">
      <c r="A141" s="48" t="n"/>
      <c r="B141" s="41">
        <f>IF(A141="","",TEXT(A141,"mmm"))</f>
        <v/>
      </c>
      <c r="C141" s="41" t="n"/>
      <c r="D141" s="42" t="n"/>
      <c r="E141" s="41" t="n"/>
      <c r="F141" s="41">
        <f>IFERROR(INDEX(销售员主数据!$B$2:$B$101,MATCH($E141,销售员主数据!$A$2:$A$101,0)),"")</f>
        <v/>
      </c>
      <c r="G141" s="41">
        <f>IFERROR(INDEX(销售员主数据!$C$2:$C$101,MATCH($E141,销售员主数据!$A$2:$A$101,0)),"")</f>
        <v/>
      </c>
      <c r="H141" s="41">
        <f>IFERROR(INDEX(销售员主数据!$D$2:$D$101,MATCH($E141,销售员主数据!$A$2:$A$101,0)),"")</f>
        <v/>
      </c>
      <c r="I141" s="43" t="n"/>
      <c r="J141" s="43" t="n"/>
      <c r="K141" s="44" t="n"/>
      <c r="L141" s="58" t="n"/>
      <c r="M141" s="59" t="n"/>
      <c r="N141" s="60">
        <f>IF(COUNTBLANK(A141:L141)=12,"",1)</f>
        <v/>
      </c>
      <c r="O141" s="42" t="n"/>
    </row>
    <row r="142" ht="15" customHeight="1" s="34">
      <c r="A142" s="46" t="n"/>
      <c r="B142" s="39">
        <f>IF(A142="","",TEXT(A142,"mmm"))</f>
        <v/>
      </c>
      <c r="C142" s="39" t="n"/>
      <c r="D142" s="40" t="n"/>
      <c r="E142" s="39" t="n"/>
      <c r="F142" s="39">
        <f>IFERROR(INDEX(销售员主数据!$B$2:$B$101,MATCH($E142,销售员主数据!$A$2:$A$101,0)),"")</f>
        <v/>
      </c>
      <c r="G142" s="39">
        <f>IFERROR(INDEX(销售员主数据!$C$2:$C$101,MATCH($E142,销售员主数据!$A$2:$A$101,0)),"")</f>
        <v/>
      </c>
      <c r="H142" s="39">
        <f>IFERROR(INDEX(销售员主数据!$D$2:$D$101,MATCH($E142,销售员主数据!$A$2:$A$101,0)),"")</f>
        <v/>
      </c>
      <c r="I142" s="50" t="n"/>
      <c r="J142" s="50" t="n"/>
      <c r="K142" s="54" t="n"/>
      <c r="L142" s="55" t="n"/>
      <c r="M142" s="56" t="n"/>
      <c r="N142" s="57">
        <f>IF(COUNTBLANK(A142:L142)=12,"",1)</f>
        <v/>
      </c>
      <c r="O142" s="40" t="n"/>
    </row>
    <row r="143" ht="15" customHeight="1" s="34">
      <c r="A143" s="48" t="n"/>
      <c r="B143" s="41">
        <f>IF(A143="","",TEXT(A143,"mmm"))</f>
        <v/>
      </c>
      <c r="C143" s="41" t="n"/>
      <c r="D143" s="42" t="n"/>
      <c r="E143" s="41" t="n"/>
      <c r="F143" s="41">
        <f>IFERROR(INDEX(销售员主数据!$B$2:$B$101,MATCH($E143,销售员主数据!$A$2:$A$101,0)),"")</f>
        <v/>
      </c>
      <c r="G143" s="41">
        <f>IFERROR(INDEX(销售员主数据!$C$2:$C$101,MATCH($E143,销售员主数据!$A$2:$A$101,0)),"")</f>
        <v/>
      </c>
      <c r="H143" s="41">
        <f>IFERROR(INDEX(销售员主数据!$D$2:$D$101,MATCH($E143,销售员主数据!$A$2:$A$101,0)),"")</f>
        <v/>
      </c>
      <c r="I143" s="43" t="n"/>
      <c r="J143" s="43" t="n"/>
      <c r="K143" s="44" t="n"/>
      <c r="L143" s="58" t="n"/>
      <c r="M143" s="59" t="n"/>
      <c r="N143" s="60">
        <f>IF(COUNTBLANK(A143:L143)=12,"",1)</f>
        <v/>
      </c>
      <c r="O143" s="42" t="n"/>
    </row>
    <row r="144" ht="15" customHeight="1" s="34">
      <c r="A144" s="46" t="n"/>
      <c r="B144" s="39">
        <f>IF(A144="","",TEXT(A144,"mmm"))</f>
        <v/>
      </c>
      <c r="C144" s="39" t="n"/>
      <c r="D144" s="40" t="n"/>
      <c r="E144" s="39" t="n"/>
      <c r="F144" s="39">
        <f>IFERROR(INDEX(销售员主数据!$B$2:$B$101,MATCH($E144,销售员主数据!$A$2:$A$101,0)),"")</f>
        <v/>
      </c>
      <c r="G144" s="39">
        <f>IFERROR(INDEX(销售员主数据!$C$2:$C$101,MATCH($E144,销售员主数据!$A$2:$A$101,0)),"")</f>
        <v/>
      </c>
      <c r="H144" s="39">
        <f>IFERROR(INDEX(销售员主数据!$D$2:$D$101,MATCH($E144,销售员主数据!$A$2:$A$101,0)),"")</f>
        <v/>
      </c>
      <c r="I144" s="50" t="n"/>
      <c r="J144" s="50" t="n"/>
      <c r="K144" s="54" t="n"/>
      <c r="L144" s="55" t="n"/>
      <c r="M144" s="56" t="n"/>
      <c r="N144" s="57">
        <f>IF(COUNTBLANK(A144:L144)=12,"",1)</f>
        <v/>
      </c>
      <c r="O144" s="40" t="n"/>
    </row>
    <row r="145" ht="15" customHeight="1" s="34">
      <c r="A145" s="48" t="n"/>
      <c r="B145" s="41">
        <f>IF(A145="","",TEXT(A145,"mmm"))</f>
        <v/>
      </c>
      <c r="C145" s="41" t="n"/>
      <c r="D145" s="42" t="n"/>
      <c r="E145" s="41" t="n"/>
      <c r="F145" s="41">
        <f>IFERROR(INDEX(销售员主数据!$B$2:$B$101,MATCH($E145,销售员主数据!$A$2:$A$101,0)),"")</f>
        <v/>
      </c>
      <c r="G145" s="41">
        <f>IFERROR(INDEX(销售员主数据!$C$2:$C$101,MATCH($E145,销售员主数据!$A$2:$A$101,0)),"")</f>
        <v/>
      </c>
      <c r="H145" s="41">
        <f>IFERROR(INDEX(销售员主数据!$D$2:$D$101,MATCH($E145,销售员主数据!$A$2:$A$101,0)),"")</f>
        <v/>
      </c>
      <c r="I145" s="43" t="n"/>
      <c r="J145" s="43" t="n"/>
      <c r="K145" s="44" t="n"/>
      <c r="L145" s="58" t="n"/>
      <c r="M145" s="59" t="n"/>
      <c r="N145" s="60">
        <f>IF(COUNTBLANK(A145:L145)=12,"",1)</f>
        <v/>
      </c>
      <c r="O145" s="42" t="n"/>
    </row>
    <row r="146" ht="15" customHeight="1" s="34">
      <c r="A146" s="46" t="n"/>
      <c r="B146" s="39">
        <f>IF(A146="","",TEXT(A146,"mmm"))</f>
        <v/>
      </c>
      <c r="C146" s="39" t="n"/>
      <c r="D146" s="40" t="n"/>
      <c r="E146" s="39" t="n"/>
      <c r="F146" s="39">
        <f>IFERROR(INDEX(销售员主数据!$B$2:$B$101,MATCH($E146,销售员主数据!$A$2:$A$101,0)),"")</f>
        <v/>
      </c>
      <c r="G146" s="39">
        <f>IFERROR(INDEX(销售员主数据!$C$2:$C$101,MATCH($E146,销售员主数据!$A$2:$A$101,0)),"")</f>
        <v/>
      </c>
      <c r="H146" s="39">
        <f>IFERROR(INDEX(销售员主数据!$D$2:$D$101,MATCH($E146,销售员主数据!$A$2:$A$101,0)),"")</f>
        <v/>
      </c>
      <c r="I146" s="50" t="n"/>
      <c r="J146" s="50" t="n"/>
      <c r="K146" s="54" t="n"/>
      <c r="L146" s="55" t="n"/>
      <c r="M146" s="56" t="n"/>
      <c r="N146" s="57">
        <f>IF(COUNTBLANK(A146:L146)=12,"",1)</f>
        <v/>
      </c>
      <c r="O146" s="40" t="n"/>
    </row>
    <row r="147" ht="15" customHeight="1" s="34">
      <c r="A147" s="48" t="n"/>
      <c r="B147" s="41">
        <f>IF(A147="","",TEXT(A147,"mmm"))</f>
        <v/>
      </c>
      <c r="C147" s="41" t="n"/>
      <c r="D147" s="42" t="n"/>
      <c r="E147" s="41" t="n"/>
      <c r="F147" s="41">
        <f>IFERROR(INDEX(销售员主数据!$B$2:$B$101,MATCH($E147,销售员主数据!$A$2:$A$101,0)),"")</f>
        <v/>
      </c>
      <c r="G147" s="41">
        <f>IFERROR(INDEX(销售员主数据!$C$2:$C$101,MATCH($E147,销售员主数据!$A$2:$A$101,0)),"")</f>
        <v/>
      </c>
      <c r="H147" s="41">
        <f>IFERROR(INDEX(销售员主数据!$D$2:$D$101,MATCH($E147,销售员主数据!$A$2:$A$101,0)),"")</f>
        <v/>
      </c>
      <c r="I147" s="43" t="n"/>
      <c r="J147" s="43" t="n"/>
      <c r="K147" s="44" t="n"/>
      <c r="L147" s="58" t="n"/>
      <c r="M147" s="59" t="n"/>
      <c r="N147" s="60">
        <f>IF(COUNTBLANK(A147:L147)=12,"",1)</f>
        <v/>
      </c>
      <c r="O147" s="42" t="n"/>
    </row>
    <row r="148" ht="15" customHeight="1" s="34">
      <c r="A148" s="46" t="n"/>
      <c r="B148" s="39">
        <f>IF(A148="","",TEXT(A148,"mmm"))</f>
        <v/>
      </c>
      <c r="C148" s="39" t="n"/>
      <c r="D148" s="40" t="n"/>
      <c r="E148" s="39" t="n"/>
      <c r="F148" s="39">
        <f>IFERROR(INDEX(销售员主数据!$B$2:$B$101,MATCH($E148,销售员主数据!$A$2:$A$101,0)),"")</f>
        <v/>
      </c>
      <c r="G148" s="39">
        <f>IFERROR(INDEX(销售员主数据!$C$2:$C$101,MATCH($E148,销售员主数据!$A$2:$A$101,0)),"")</f>
        <v/>
      </c>
      <c r="H148" s="39">
        <f>IFERROR(INDEX(销售员主数据!$D$2:$D$101,MATCH($E148,销售员主数据!$A$2:$A$101,0)),"")</f>
        <v/>
      </c>
      <c r="I148" s="50" t="n"/>
      <c r="J148" s="50" t="n"/>
      <c r="K148" s="54" t="n"/>
      <c r="L148" s="55" t="n"/>
      <c r="M148" s="56" t="n"/>
      <c r="N148" s="57">
        <f>IF(COUNTBLANK(A148:L148)=12,"",1)</f>
        <v/>
      </c>
      <c r="O148" s="40" t="n"/>
    </row>
    <row r="149" ht="15" customHeight="1" s="34">
      <c r="A149" s="48" t="n"/>
      <c r="B149" s="41">
        <f>IF(A149="","",TEXT(A149,"mmm"))</f>
        <v/>
      </c>
      <c r="C149" s="41" t="n"/>
      <c r="D149" s="42" t="n"/>
      <c r="E149" s="41" t="n"/>
      <c r="F149" s="41">
        <f>IFERROR(INDEX(销售员主数据!$B$2:$B$101,MATCH($E149,销售员主数据!$A$2:$A$101,0)),"")</f>
        <v/>
      </c>
      <c r="G149" s="41">
        <f>IFERROR(INDEX(销售员主数据!$C$2:$C$101,MATCH($E149,销售员主数据!$A$2:$A$101,0)),"")</f>
        <v/>
      </c>
      <c r="H149" s="41">
        <f>IFERROR(INDEX(销售员主数据!$D$2:$D$101,MATCH($E149,销售员主数据!$A$2:$A$101,0)),"")</f>
        <v/>
      </c>
      <c r="I149" s="43" t="n"/>
      <c r="J149" s="43" t="n"/>
      <c r="K149" s="44" t="n"/>
      <c r="L149" s="58" t="n"/>
      <c r="M149" s="59" t="n"/>
      <c r="N149" s="60">
        <f>IF(COUNTBLANK(A149:L149)=12,"",1)</f>
        <v/>
      </c>
      <c r="O149" s="42" t="n"/>
    </row>
    <row r="150" ht="15" customHeight="1" s="34">
      <c r="A150" s="46" t="n"/>
      <c r="B150" s="39">
        <f>IF(A150="","",TEXT(A150,"mmm"))</f>
        <v/>
      </c>
      <c r="C150" s="39" t="n"/>
      <c r="D150" s="40" t="n"/>
      <c r="E150" s="39" t="n"/>
      <c r="F150" s="39">
        <f>IFERROR(INDEX(销售员主数据!$B$2:$B$101,MATCH($E150,销售员主数据!$A$2:$A$101,0)),"")</f>
        <v/>
      </c>
      <c r="G150" s="39">
        <f>IFERROR(INDEX(销售员主数据!$C$2:$C$101,MATCH($E150,销售员主数据!$A$2:$A$101,0)),"")</f>
        <v/>
      </c>
      <c r="H150" s="39">
        <f>IFERROR(INDEX(销售员主数据!$D$2:$D$101,MATCH($E150,销售员主数据!$A$2:$A$101,0)),"")</f>
        <v/>
      </c>
      <c r="I150" s="50" t="n"/>
      <c r="J150" s="50" t="n"/>
      <c r="K150" s="54" t="n"/>
      <c r="L150" s="55" t="n"/>
      <c r="M150" s="56" t="n"/>
      <c r="N150" s="57">
        <f>IF(COUNTBLANK(A150:L150)=12,"",1)</f>
        <v/>
      </c>
      <c r="O150" s="40" t="n"/>
    </row>
    <row r="151" ht="15" customHeight="1" s="34">
      <c r="A151" s="48" t="n"/>
      <c r="B151" s="41">
        <f>IF(A151="","",TEXT(A151,"mmm"))</f>
        <v/>
      </c>
      <c r="C151" s="41" t="n"/>
      <c r="D151" s="42" t="n"/>
      <c r="E151" s="41" t="n"/>
      <c r="F151" s="41">
        <f>IFERROR(INDEX(销售员主数据!$B$2:$B$101,MATCH($E151,销售员主数据!$A$2:$A$101,0)),"")</f>
        <v/>
      </c>
      <c r="G151" s="41">
        <f>IFERROR(INDEX(销售员主数据!$C$2:$C$101,MATCH($E151,销售员主数据!$A$2:$A$101,0)),"")</f>
        <v/>
      </c>
      <c r="H151" s="41">
        <f>IFERROR(INDEX(销售员主数据!$D$2:$D$101,MATCH($E151,销售员主数据!$A$2:$A$101,0)),"")</f>
        <v/>
      </c>
      <c r="I151" s="43" t="n"/>
      <c r="J151" s="43" t="n"/>
      <c r="K151" s="44" t="n"/>
      <c r="L151" s="58" t="n"/>
      <c r="M151" s="59" t="n"/>
      <c r="N151" s="60">
        <f>IF(COUNTBLANK(A151:L151)=12,"",1)</f>
        <v/>
      </c>
      <c r="O151" s="42" t="n"/>
    </row>
    <row r="152" ht="15" customHeight="1" s="34">
      <c r="A152" s="46" t="n"/>
      <c r="B152" s="39">
        <f>IF(A152="","",TEXT(A152,"mmm"))</f>
        <v/>
      </c>
      <c r="C152" s="39" t="n"/>
      <c r="D152" s="40" t="n"/>
      <c r="E152" s="39" t="n"/>
      <c r="F152" s="39">
        <f>IFERROR(INDEX(销售员主数据!$B$2:$B$101,MATCH($E152,销售员主数据!$A$2:$A$101,0)),"")</f>
        <v/>
      </c>
      <c r="G152" s="39">
        <f>IFERROR(INDEX(销售员主数据!$C$2:$C$101,MATCH($E152,销售员主数据!$A$2:$A$101,0)),"")</f>
        <v/>
      </c>
      <c r="H152" s="39">
        <f>IFERROR(INDEX(销售员主数据!$D$2:$D$101,MATCH($E152,销售员主数据!$A$2:$A$101,0)),"")</f>
        <v/>
      </c>
      <c r="I152" s="50" t="n"/>
      <c r="J152" s="50" t="n"/>
      <c r="K152" s="54" t="n"/>
      <c r="L152" s="55" t="n"/>
      <c r="M152" s="56" t="n"/>
      <c r="N152" s="57">
        <f>IF(COUNTBLANK(A152:L152)=12,"",1)</f>
        <v/>
      </c>
      <c r="O152" s="40" t="n"/>
    </row>
    <row r="153" ht="15" customHeight="1" s="34">
      <c r="A153" s="48" t="n"/>
      <c r="B153" s="41">
        <f>IF(A153="","",TEXT(A153,"mmm"))</f>
        <v/>
      </c>
      <c r="C153" s="41" t="n"/>
      <c r="D153" s="42" t="n"/>
      <c r="E153" s="41" t="n"/>
      <c r="F153" s="41">
        <f>IFERROR(INDEX(销售员主数据!$B$2:$B$101,MATCH($E153,销售员主数据!$A$2:$A$101,0)),"")</f>
        <v/>
      </c>
      <c r="G153" s="41">
        <f>IFERROR(INDEX(销售员主数据!$C$2:$C$101,MATCH($E153,销售员主数据!$A$2:$A$101,0)),"")</f>
        <v/>
      </c>
      <c r="H153" s="41">
        <f>IFERROR(INDEX(销售员主数据!$D$2:$D$101,MATCH($E153,销售员主数据!$A$2:$A$101,0)),"")</f>
        <v/>
      </c>
      <c r="I153" s="43" t="n"/>
      <c r="J153" s="43" t="n"/>
      <c r="K153" s="44" t="n"/>
      <c r="L153" s="58" t="n"/>
      <c r="M153" s="59" t="n"/>
      <c r="N153" s="60">
        <f>IF(COUNTBLANK(A153:L153)=12,"",1)</f>
        <v/>
      </c>
      <c r="O153" s="42" t="n"/>
    </row>
    <row r="154" ht="15" customHeight="1" s="34">
      <c r="A154" s="46" t="n"/>
      <c r="B154" s="39">
        <f>IF(A154="","",TEXT(A154,"mmm"))</f>
        <v/>
      </c>
      <c r="C154" s="39" t="n"/>
      <c r="D154" s="40" t="n"/>
      <c r="E154" s="39" t="n"/>
      <c r="F154" s="39">
        <f>IFERROR(INDEX(销售员主数据!$B$2:$B$101,MATCH($E154,销售员主数据!$A$2:$A$101,0)),"")</f>
        <v/>
      </c>
      <c r="G154" s="39">
        <f>IFERROR(INDEX(销售员主数据!$C$2:$C$101,MATCH($E154,销售员主数据!$A$2:$A$101,0)),"")</f>
        <v/>
      </c>
      <c r="H154" s="39">
        <f>IFERROR(INDEX(销售员主数据!$D$2:$D$101,MATCH($E154,销售员主数据!$A$2:$A$101,0)),"")</f>
        <v/>
      </c>
      <c r="I154" s="50" t="n"/>
      <c r="J154" s="50" t="n"/>
      <c r="K154" s="54" t="n"/>
      <c r="L154" s="55" t="n"/>
      <c r="M154" s="56" t="n"/>
      <c r="N154" s="57">
        <f>IF(COUNTBLANK(A154:L154)=12,"",1)</f>
        <v/>
      </c>
      <c r="O154" s="40" t="n"/>
    </row>
    <row r="155" ht="15" customHeight="1" s="34">
      <c r="A155" s="48" t="n"/>
      <c r="B155" s="41">
        <f>IF(A155="","",TEXT(A155,"mmm"))</f>
        <v/>
      </c>
      <c r="C155" s="41" t="n"/>
      <c r="D155" s="42" t="n"/>
      <c r="E155" s="41" t="n"/>
      <c r="F155" s="41">
        <f>IFERROR(INDEX(销售员主数据!$B$2:$B$101,MATCH($E155,销售员主数据!$A$2:$A$101,0)),"")</f>
        <v/>
      </c>
      <c r="G155" s="41">
        <f>IFERROR(INDEX(销售员主数据!$C$2:$C$101,MATCH($E155,销售员主数据!$A$2:$A$101,0)),"")</f>
        <v/>
      </c>
      <c r="H155" s="41">
        <f>IFERROR(INDEX(销售员主数据!$D$2:$D$101,MATCH($E155,销售员主数据!$A$2:$A$101,0)),"")</f>
        <v/>
      </c>
      <c r="I155" s="43" t="n"/>
      <c r="J155" s="43" t="n"/>
      <c r="K155" s="44" t="n"/>
      <c r="L155" s="58" t="n"/>
      <c r="M155" s="59" t="n"/>
      <c r="N155" s="60">
        <f>IF(COUNTBLANK(A155:L155)=12,"",1)</f>
        <v/>
      </c>
      <c r="O155" s="42" t="n"/>
    </row>
    <row r="156" ht="15" customHeight="1" s="34">
      <c r="A156" s="46" t="n"/>
      <c r="B156" s="39">
        <f>IF(A156="","",TEXT(A156,"mmm"))</f>
        <v/>
      </c>
      <c r="C156" s="39" t="n"/>
      <c r="D156" s="40" t="n"/>
      <c r="E156" s="39" t="n"/>
      <c r="F156" s="39">
        <f>IFERROR(INDEX(销售员主数据!$B$2:$B$101,MATCH($E156,销售员主数据!$A$2:$A$101,0)),"")</f>
        <v/>
      </c>
      <c r="G156" s="39">
        <f>IFERROR(INDEX(销售员主数据!$C$2:$C$101,MATCH($E156,销售员主数据!$A$2:$A$101,0)),"")</f>
        <v/>
      </c>
      <c r="H156" s="39">
        <f>IFERROR(INDEX(销售员主数据!$D$2:$D$101,MATCH($E156,销售员主数据!$A$2:$A$101,0)),"")</f>
        <v/>
      </c>
      <c r="I156" s="50" t="n"/>
      <c r="J156" s="50" t="n"/>
      <c r="K156" s="54" t="n"/>
      <c r="L156" s="55" t="n"/>
      <c r="M156" s="56" t="n"/>
      <c r="N156" s="57">
        <f>IF(COUNTBLANK(A156:L156)=12,"",1)</f>
        <v/>
      </c>
      <c r="O156" s="40" t="n"/>
    </row>
    <row r="157" ht="15" customHeight="1" s="34">
      <c r="A157" s="48" t="n"/>
      <c r="B157" s="41">
        <f>IF(A157="","",TEXT(A157,"mmm"))</f>
        <v/>
      </c>
      <c r="C157" s="41" t="n"/>
      <c r="D157" s="42" t="n"/>
      <c r="E157" s="41" t="n"/>
      <c r="F157" s="41">
        <f>IFERROR(INDEX(销售员主数据!$B$2:$B$101,MATCH($E157,销售员主数据!$A$2:$A$101,0)),"")</f>
        <v/>
      </c>
      <c r="G157" s="41">
        <f>IFERROR(INDEX(销售员主数据!$C$2:$C$101,MATCH($E157,销售员主数据!$A$2:$A$101,0)),"")</f>
        <v/>
      </c>
      <c r="H157" s="41">
        <f>IFERROR(INDEX(销售员主数据!$D$2:$D$101,MATCH($E157,销售员主数据!$A$2:$A$101,0)),"")</f>
        <v/>
      </c>
      <c r="I157" s="43" t="n"/>
      <c r="J157" s="43" t="n"/>
      <c r="K157" s="44" t="n"/>
      <c r="L157" s="58" t="n"/>
      <c r="M157" s="59" t="n"/>
      <c r="N157" s="60">
        <f>IF(COUNTBLANK(A157:L157)=12,"",1)</f>
        <v/>
      </c>
      <c r="O157" s="42" t="n"/>
    </row>
    <row r="158" ht="15" customHeight="1" s="34">
      <c r="A158" s="46" t="n"/>
      <c r="B158" s="39">
        <f>IF(A158="","",TEXT(A158,"mmm"))</f>
        <v/>
      </c>
      <c r="C158" s="39" t="n"/>
      <c r="D158" s="40" t="n"/>
      <c r="E158" s="39" t="n"/>
      <c r="F158" s="39">
        <f>IFERROR(INDEX(销售员主数据!$B$2:$B$101,MATCH($E158,销售员主数据!$A$2:$A$101,0)),"")</f>
        <v/>
      </c>
      <c r="G158" s="39">
        <f>IFERROR(INDEX(销售员主数据!$C$2:$C$101,MATCH($E158,销售员主数据!$A$2:$A$101,0)),"")</f>
        <v/>
      </c>
      <c r="H158" s="39">
        <f>IFERROR(INDEX(销售员主数据!$D$2:$D$101,MATCH($E158,销售员主数据!$A$2:$A$101,0)),"")</f>
        <v/>
      </c>
      <c r="I158" s="50" t="n"/>
      <c r="J158" s="50" t="n"/>
      <c r="K158" s="54" t="n"/>
      <c r="L158" s="55" t="n"/>
      <c r="M158" s="56" t="n"/>
      <c r="N158" s="57">
        <f>IF(COUNTBLANK(A158:L158)=12,"",1)</f>
        <v/>
      </c>
      <c r="O158" s="40" t="n"/>
    </row>
    <row r="159" ht="15" customHeight="1" s="34">
      <c r="A159" s="48" t="n"/>
      <c r="B159" s="41">
        <f>IF(A159="","",TEXT(A159,"mmm"))</f>
        <v/>
      </c>
      <c r="C159" s="41" t="n"/>
      <c r="D159" s="42" t="n"/>
      <c r="E159" s="41" t="n"/>
      <c r="F159" s="41">
        <f>IFERROR(INDEX(销售员主数据!$B$2:$B$101,MATCH($E159,销售员主数据!$A$2:$A$101,0)),"")</f>
        <v/>
      </c>
      <c r="G159" s="41">
        <f>IFERROR(INDEX(销售员主数据!$C$2:$C$101,MATCH($E159,销售员主数据!$A$2:$A$101,0)),"")</f>
        <v/>
      </c>
      <c r="H159" s="41">
        <f>IFERROR(INDEX(销售员主数据!$D$2:$D$101,MATCH($E159,销售员主数据!$A$2:$A$101,0)),"")</f>
        <v/>
      </c>
      <c r="I159" s="43" t="n"/>
      <c r="J159" s="43" t="n"/>
      <c r="K159" s="44" t="n"/>
      <c r="L159" s="58" t="n"/>
      <c r="M159" s="59" t="n"/>
      <c r="N159" s="60">
        <f>IF(COUNTBLANK(A159:L159)=12,"",1)</f>
        <v/>
      </c>
      <c r="O159" s="42" t="n"/>
    </row>
    <row r="160" ht="15" customHeight="1" s="34">
      <c r="A160" s="46" t="n"/>
      <c r="B160" s="39">
        <f>IF(A160="","",TEXT(A160,"mmm"))</f>
        <v/>
      </c>
      <c r="C160" s="39" t="n"/>
      <c r="D160" s="40" t="n"/>
      <c r="E160" s="39" t="n"/>
      <c r="F160" s="39">
        <f>IFERROR(INDEX(销售员主数据!$B$2:$B$101,MATCH($E160,销售员主数据!$A$2:$A$101,0)),"")</f>
        <v/>
      </c>
      <c r="G160" s="39">
        <f>IFERROR(INDEX(销售员主数据!$C$2:$C$101,MATCH($E160,销售员主数据!$A$2:$A$101,0)),"")</f>
        <v/>
      </c>
      <c r="H160" s="39">
        <f>IFERROR(INDEX(销售员主数据!$D$2:$D$101,MATCH($E160,销售员主数据!$A$2:$A$101,0)),"")</f>
        <v/>
      </c>
      <c r="I160" s="50" t="n"/>
      <c r="J160" s="50" t="n"/>
      <c r="K160" s="54" t="n"/>
      <c r="L160" s="55" t="n"/>
      <c r="M160" s="56" t="n"/>
      <c r="N160" s="57">
        <f>IF(COUNTBLANK(A160:L160)=12,"",1)</f>
        <v/>
      </c>
      <c r="O160" s="40" t="n"/>
    </row>
    <row r="161" ht="15" customHeight="1" s="34">
      <c r="A161" s="48" t="n"/>
      <c r="B161" s="41">
        <f>IF(A161="","",TEXT(A161,"mmm"))</f>
        <v/>
      </c>
      <c r="C161" s="41" t="n"/>
      <c r="D161" s="42" t="n"/>
      <c r="E161" s="41" t="n"/>
      <c r="F161" s="41">
        <f>IFERROR(INDEX(销售员主数据!$B$2:$B$101,MATCH($E161,销售员主数据!$A$2:$A$101,0)),"")</f>
        <v/>
      </c>
      <c r="G161" s="41">
        <f>IFERROR(INDEX(销售员主数据!$C$2:$C$101,MATCH($E161,销售员主数据!$A$2:$A$101,0)),"")</f>
        <v/>
      </c>
      <c r="H161" s="41">
        <f>IFERROR(INDEX(销售员主数据!$D$2:$D$101,MATCH($E161,销售员主数据!$A$2:$A$101,0)),"")</f>
        <v/>
      </c>
      <c r="I161" s="43" t="n"/>
      <c r="J161" s="43" t="n"/>
      <c r="K161" s="44" t="n"/>
      <c r="L161" s="58" t="n"/>
      <c r="M161" s="59" t="n"/>
      <c r="N161" s="60">
        <f>IF(COUNTBLANK(A161:L161)=12,"",1)</f>
        <v/>
      </c>
      <c r="O161" s="42" t="n"/>
    </row>
    <row r="162" ht="15" customHeight="1" s="34">
      <c r="A162" s="46" t="n"/>
      <c r="B162" s="39">
        <f>IF(A162="","",TEXT(A162,"mmm"))</f>
        <v/>
      </c>
      <c r="C162" s="39" t="n"/>
      <c r="D162" s="40" t="n"/>
      <c r="E162" s="39" t="n"/>
      <c r="F162" s="39">
        <f>IFERROR(INDEX(销售员主数据!$B$2:$B$101,MATCH($E162,销售员主数据!$A$2:$A$101,0)),"")</f>
        <v/>
      </c>
      <c r="G162" s="39">
        <f>IFERROR(INDEX(销售员主数据!$C$2:$C$101,MATCH($E162,销售员主数据!$A$2:$A$101,0)),"")</f>
        <v/>
      </c>
      <c r="H162" s="39">
        <f>IFERROR(INDEX(销售员主数据!$D$2:$D$101,MATCH($E162,销售员主数据!$A$2:$A$101,0)),"")</f>
        <v/>
      </c>
      <c r="I162" s="50" t="n"/>
      <c r="J162" s="50" t="n"/>
      <c r="K162" s="54" t="n"/>
      <c r="L162" s="55" t="n"/>
      <c r="M162" s="56" t="n"/>
      <c r="N162" s="57">
        <f>IF(COUNTBLANK(A162:L162)=12,"",1)</f>
        <v/>
      </c>
      <c r="O162" s="40" t="n"/>
    </row>
    <row r="163" ht="15" customHeight="1" s="34">
      <c r="A163" s="48" t="n"/>
      <c r="B163" s="41">
        <f>IF(A163="","",TEXT(A163,"mmm"))</f>
        <v/>
      </c>
      <c r="C163" s="41" t="n"/>
      <c r="D163" s="42" t="n"/>
      <c r="E163" s="41" t="n"/>
      <c r="F163" s="41">
        <f>IFERROR(INDEX(销售员主数据!$B$2:$B$101,MATCH($E163,销售员主数据!$A$2:$A$101,0)),"")</f>
        <v/>
      </c>
      <c r="G163" s="41">
        <f>IFERROR(INDEX(销售员主数据!$C$2:$C$101,MATCH($E163,销售员主数据!$A$2:$A$101,0)),"")</f>
        <v/>
      </c>
      <c r="H163" s="41">
        <f>IFERROR(INDEX(销售员主数据!$D$2:$D$101,MATCH($E163,销售员主数据!$A$2:$A$101,0)),"")</f>
        <v/>
      </c>
      <c r="I163" s="43" t="n"/>
      <c r="J163" s="43" t="n"/>
      <c r="K163" s="44" t="n"/>
      <c r="L163" s="58" t="n"/>
      <c r="M163" s="59" t="n"/>
      <c r="N163" s="60">
        <f>IF(COUNTBLANK(A163:L163)=12,"",1)</f>
        <v/>
      </c>
      <c r="O163" s="42" t="n"/>
    </row>
    <row r="164" ht="15" customHeight="1" s="34">
      <c r="A164" s="46" t="n"/>
      <c r="B164" s="39">
        <f>IF(A164="","",TEXT(A164,"mmm"))</f>
        <v/>
      </c>
      <c r="C164" s="39" t="n"/>
      <c r="D164" s="40" t="n"/>
      <c r="E164" s="39" t="n"/>
      <c r="F164" s="39">
        <f>IFERROR(INDEX(销售员主数据!$B$2:$B$101,MATCH($E164,销售员主数据!$A$2:$A$101,0)),"")</f>
        <v/>
      </c>
      <c r="G164" s="39">
        <f>IFERROR(INDEX(销售员主数据!$C$2:$C$101,MATCH($E164,销售员主数据!$A$2:$A$101,0)),"")</f>
        <v/>
      </c>
      <c r="H164" s="39">
        <f>IFERROR(INDEX(销售员主数据!$D$2:$D$101,MATCH($E164,销售员主数据!$A$2:$A$101,0)),"")</f>
        <v/>
      </c>
      <c r="I164" s="50" t="n"/>
      <c r="J164" s="50" t="n"/>
      <c r="K164" s="54" t="n"/>
      <c r="L164" s="55" t="n"/>
      <c r="M164" s="56" t="n"/>
      <c r="N164" s="57">
        <f>IF(COUNTBLANK(A164:L164)=12,"",1)</f>
        <v/>
      </c>
      <c r="O164" s="40" t="n"/>
    </row>
    <row r="165" ht="15" customHeight="1" s="34">
      <c r="A165" s="48" t="n"/>
      <c r="B165" s="41">
        <f>IF(A165="","",TEXT(A165,"mmm"))</f>
        <v/>
      </c>
      <c r="C165" s="41" t="n"/>
      <c r="D165" s="42" t="n"/>
      <c r="E165" s="41" t="n"/>
      <c r="F165" s="41">
        <f>IFERROR(INDEX(销售员主数据!$B$2:$B$101,MATCH($E165,销售员主数据!$A$2:$A$101,0)),"")</f>
        <v/>
      </c>
      <c r="G165" s="41">
        <f>IFERROR(INDEX(销售员主数据!$C$2:$C$101,MATCH($E165,销售员主数据!$A$2:$A$101,0)),"")</f>
        <v/>
      </c>
      <c r="H165" s="41">
        <f>IFERROR(INDEX(销售员主数据!$D$2:$D$101,MATCH($E165,销售员主数据!$A$2:$A$101,0)),"")</f>
        <v/>
      </c>
      <c r="I165" s="43" t="n"/>
      <c r="J165" s="43" t="n"/>
      <c r="K165" s="44" t="n"/>
      <c r="L165" s="58" t="n"/>
      <c r="M165" s="59" t="n"/>
      <c r="N165" s="60">
        <f>IF(COUNTBLANK(A165:L165)=12,"",1)</f>
        <v/>
      </c>
      <c r="O165" s="42" t="n"/>
    </row>
    <row r="166" ht="15" customHeight="1" s="34">
      <c r="A166" s="46" t="n"/>
      <c r="B166" s="39">
        <f>IF(A166="","",TEXT(A166,"mmm"))</f>
        <v/>
      </c>
      <c r="C166" s="39" t="n"/>
      <c r="D166" s="40" t="n"/>
      <c r="E166" s="39" t="n"/>
      <c r="F166" s="39">
        <f>IFERROR(INDEX(销售员主数据!$B$2:$B$101,MATCH($E166,销售员主数据!$A$2:$A$101,0)),"")</f>
        <v/>
      </c>
      <c r="G166" s="39">
        <f>IFERROR(INDEX(销售员主数据!$C$2:$C$101,MATCH($E166,销售员主数据!$A$2:$A$101,0)),"")</f>
        <v/>
      </c>
      <c r="H166" s="39">
        <f>IFERROR(INDEX(销售员主数据!$D$2:$D$101,MATCH($E166,销售员主数据!$A$2:$A$101,0)),"")</f>
        <v/>
      </c>
      <c r="I166" s="50" t="n"/>
      <c r="J166" s="50" t="n"/>
      <c r="K166" s="54" t="n"/>
      <c r="L166" s="55" t="n"/>
      <c r="M166" s="56" t="n"/>
      <c r="N166" s="57">
        <f>IF(COUNTBLANK(A166:L166)=12,"",1)</f>
        <v/>
      </c>
      <c r="O166" s="40" t="n"/>
    </row>
    <row r="167" ht="15" customHeight="1" s="34">
      <c r="A167" s="48" t="n"/>
      <c r="B167" s="41">
        <f>IF(A167="","",TEXT(A167,"mmm"))</f>
        <v/>
      </c>
      <c r="C167" s="41" t="n"/>
      <c r="D167" s="42" t="n"/>
      <c r="E167" s="41" t="n"/>
      <c r="F167" s="41">
        <f>IFERROR(INDEX(销售员主数据!$B$2:$B$101,MATCH($E167,销售员主数据!$A$2:$A$101,0)),"")</f>
        <v/>
      </c>
      <c r="G167" s="41">
        <f>IFERROR(INDEX(销售员主数据!$C$2:$C$101,MATCH($E167,销售员主数据!$A$2:$A$101,0)),"")</f>
        <v/>
      </c>
      <c r="H167" s="41">
        <f>IFERROR(INDEX(销售员主数据!$D$2:$D$101,MATCH($E167,销售员主数据!$A$2:$A$101,0)),"")</f>
        <v/>
      </c>
      <c r="I167" s="43" t="n"/>
      <c r="J167" s="43" t="n"/>
      <c r="K167" s="44" t="n"/>
      <c r="L167" s="58" t="n"/>
      <c r="M167" s="59" t="n"/>
      <c r="N167" s="60">
        <f>IF(COUNTBLANK(A167:L167)=12,"",1)</f>
        <v/>
      </c>
      <c r="O167" s="42" t="n"/>
    </row>
    <row r="168" ht="15" customHeight="1" s="34">
      <c r="A168" s="46" t="n"/>
      <c r="B168" s="39">
        <f>IF(A168="","",TEXT(A168,"mmm"))</f>
        <v/>
      </c>
      <c r="C168" s="39" t="n"/>
      <c r="D168" s="40" t="n"/>
      <c r="E168" s="39" t="n"/>
      <c r="F168" s="39">
        <f>IFERROR(INDEX(销售员主数据!$B$2:$B$101,MATCH($E168,销售员主数据!$A$2:$A$101,0)),"")</f>
        <v/>
      </c>
      <c r="G168" s="39">
        <f>IFERROR(INDEX(销售员主数据!$C$2:$C$101,MATCH($E168,销售员主数据!$A$2:$A$101,0)),"")</f>
        <v/>
      </c>
      <c r="H168" s="39">
        <f>IFERROR(INDEX(销售员主数据!$D$2:$D$101,MATCH($E168,销售员主数据!$A$2:$A$101,0)),"")</f>
        <v/>
      </c>
      <c r="I168" s="50" t="n"/>
      <c r="J168" s="50" t="n"/>
      <c r="K168" s="54" t="n"/>
      <c r="L168" s="55" t="n"/>
      <c r="M168" s="56" t="n"/>
      <c r="N168" s="57">
        <f>IF(COUNTBLANK(A168:L168)=12,"",1)</f>
        <v/>
      </c>
      <c r="O168" s="40" t="n"/>
    </row>
    <row r="169" ht="15" customHeight="1" s="34">
      <c r="A169" s="48" t="n"/>
      <c r="B169" s="41">
        <f>IF(A169="","",TEXT(A169,"mmm"))</f>
        <v/>
      </c>
      <c r="C169" s="41" t="n"/>
      <c r="D169" s="42" t="n"/>
      <c r="E169" s="41" t="n"/>
      <c r="F169" s="41">
        <f>IFERROR(INDEX(销售员主数据!$B$2:$B$101,MATCH($E169,销售员主数据!$A$2:$A$101,0)),"")</f>
        <v/>
      </c>
      <c r="G169" s="41">
        <f>IFERROR(INDEX(销售员主数据!$C$2:$C$101,MATCH($E169,销售员主数据!$A$2:$A$101,0)),"")</f>
        <v/>
      </c>
      <c r="H169" s="41">
        <f>IFERROR(INDEX(销售员主数据!$D$2:$D$101,MATCH($E169,销售员主数据!$A$2:$A$101,0)),"")</f>
        <v/>
      </c>
      <c r="I169" s="43" t="n"/>
      <c r="J169" s="43" t="n"/>
      <c r="K169" s="44" t="n"/>
      <c r="L169" s="58" t="n"/>
      <c r="M169" s="59" t="n"/>
      <c r="N169" s="60">
        <f>IF(COUNTBLANK(A169:L169)=12,"",1)</f>
        <v/>
      </c>
      <c r="O169" s="42" t="n"/>
    </row>
    <row r="170" ht="15" customHeight="1" s="34">
      <c r="A170" s="46" t="n"/>
      <c r="B170" s="39">
        <f>IF(A170="","",TEXT(A170,"mmm"))</f>
        <v/>
      </c>
      <c r="C170" s="39" t="n"/>
      <c r="D170" s="40" t="n"/>
      <c r="E170" s="39" t="n"/>
      <c r="F170" s="39">
        <f>IFERROR(INDEX(销售员主数据!$B$2:$B$101,MATCH($E170,销售员主数据!$A$2:$A$101,0)),"")</f>
        <v/>
      </c>
      <c r="G170" s="39">
        <f>IFERROR(INDEX(销售员主数据!$C$2:$C$101,MATCH($E170,销售员主数据!$A$2:$A$101,0)),"")</f>
        <v/>
      </c>
      <c r="H170" s="39">
        <f>IFERROR(INDEX(销售员主数据!$D$2:$D$101,MATCH($E170,销售员主数据!$A$2:$A$101,0)),"")</f>
        <v/>
      </c>
      <c r="I170" s="50" t="n"/>
      <c r="J170" s="50" t="n"/>
      <c r="K170" s="54" t="n"/>
      <c r="L170" s="55" t="n"/>
      <c r="M170" s="56" t="n"/>
      <c r="N170" s="57">
        <f>IF(COUNTBLANK(A170:L170)=12,"",1)</f>
        <v/>
      </c>
      <c r="O170" s="40" t="n"/>
    </row>
    <row r="171" ht="15" customHeight="1" s="34">
      <c r="A171" s="48" t="n"/>
      <c r="B171" s="41">
        <f>IF(A171="","",TEXT(A171,"mmm"))</f>
        <v/>
      </c>
      <c r="C171" s="41" t="n"/>
      <c r="D171" s="42" t="n"/>
      <c r="E171" s="41" t="n"/>
      <c r="F171" s="41">
        <f>IFERROR(INDEX(销售员主数据!$B$2:$B$101,MATCH($E171,销售员主数据!$A$2:$A$101,0)),"")</f>
        <v/>
      </c>
      <c r="G171" s="41">
        <f>IFERROR(INDEX(销售员主数据!$C$2:$C$101,MATCH($E171,销售员主数据!$A$2:$A$101,0)),"")</f>
        <v/>
      </c>
      <c r="H171" s="41">
        <f>IFERROR(INDEX(销售员主数据!$D$2:$D$101,MATCH($E171,销售员主数据!$A$2:$A$101,0)),"")</f>
        <v/>
      </c>
      <c r="I171" s="43" t="n"/>
      <c r="J171" s="43" t="n"/>
      <c r="K171" s="44" t="n"/>
      <c r="L171" s="58" t="n"/>
      <c r="M171" s="59" t="n"/>
      <c r="N171" s="60">
        <f>IF(COUNTBLANK(A171:L171)=12,"",1)</f>
        <v/>
      </c>
      <c r="O171" s="42" t="n"/>
    </row>
    <row r="172" ht="15" customHeight="1" s="34">
      <c r="A172" s="46" t="n"/>
      <c r="B172" s="39">
        <f>IF(A172="","",TEXT(A172,"mmm"))</f>
        <v/>
      </c>
      <c r="C172" s="39" t="n"/>
      <c r="D172" s="40" t="n"/>
      <c r="E172" s="39" t="n"/>
      <c r="F172" s="39">
        <f>IFERROR(INDEX(销售员主数据!$B$2:$B$101,MATCH($E172,销售员主数据!$A$2:$A$101,0)),"")</f>
        <v/>
      </c>
      <c r="G172" s="39">
        <f>IFERROR(INDEX(销售员主数据!$C$2:$C$101,MATCH($E172,销售员主数据!$A$2:$A$101,0)),"")</f>
        <v/>
      </c>
      <c r="H172" s="39">
        <f>IFERROR(INDEX(销售员主数据!$D$2:$D$101,MATCH($E172,销售员主数据!$A$2:$A$101,0)),"")</f>
        <v/>
      </c>
      <c r="I172" s="50" t="n"/>
      <c r="J172" s="50" t="n"/>
      <c r="K172" s="54" t="n"/>
      <c r="L172" s="55" t="n"/>
      <c r="M172" s="56" t="n"/>
      <c r="N172" s="57">
        <f>IF(COUNTBLANK(A172:L172)=12,"",1)</f>
        <v/>
      </c>
      <c r="O172" s="40" t="n"/>
    </row>
    <row r="173" ht="15" customHeight="1" s="34">
      <c r="A173" s="48" t="n"/>
      <c r="B173" s="41">
        <f>IF(A173="","",TEXT(A173,"mmm"))</f>
        <v/>
      </c>
      <c r="C173" s="41" t="n"/>
      <c r="D173" s="42" t="n"/>
      <c r="E173" s="41" t="n"/>
      <c r="F173" s="41">
        <f>IFERROR(INDEX(销售员主数据!$B$2:$B$101,MATCH($E173,销售员主数据!$A$2:$A$101,0)),"")</f>
        <v/>
      </c>
      <c r="G173" s="41">
        <f>IFERROR(INDEX(销售员主数据!$C$2:$C$101,MATCH($E173,销售员主数据!$A$2:$A$101,0)),"")</f>
        <v/>
      </c>
      <c r="H173" s="41">
        <f>IFERROR(INDEX(销售员主数据!$D$2:$D$101,MATCH($E173,销售员主数据!$A$2:$A$101,0)),"")</f>
        <v/>
      </c>
      <c r="I173" s="43" t="n"/>
      <c r="J173" s="43" t="n"/>
      <c r="K173" s="44" t="n"/>
      <c r="L173" s="58" t="n"/>
      <c r="M173" s="59" t="n"/>
      <c r="N173" s="60">
        <f>IF(COUNTBLANK(A173:L173)=12,"",1)</f>
        <v/>
      </c>
      <c r="O173" s="42" t="n"/>
    </row>
    <row r="174" ht="15" customHeight="1" s="34">
      <c r="A174" s="46" t="n"/>
      <c r="B174" s="39">
        <f>IF(A174="","",TEXT(A174,"mmm"))</f>
        <v/>
      </c>
      <c r="C174" s="39" t="n"/>
      <c r="D174" s="40" t="n"/>
      <c r="E174" s="39" t="n"/>
      <c r="F174" s="39">
        <f>IFERROR(INDEX(销售员主数据!$B$2:$B$101,MATCH($E174,销售员主数据!$A$2:$A$101,0)),"")</f>
        <v/>
      </c>
      <c r="G174" s="39">
        <f>IFERROR(INDEX(销售员主数据!$C$2:$C$101,MATCH($E174,销售员主数据!$A$2:$A$101,0)),"")</f>
        <v/>
      </c>
      <c r="H174" s="39">
        <f>IFERROR(INDEX(销售员主数据!$D$2:$D$101,MATCH($E174,销售员主数据!$A$2:$A$101,0)),"")</f>
        <v/>
      </c>
      <c r="I174" s="50" t="n"/>
      <c r="J174" s="50" t="n"/>
      <c r="K174" s="54" t="n"/>
      <c r="L174" s="55" t="n"/>
      <c r="M174" s="56" t="n"/>
      <c r="N174" s="57">
        <f>IF(COUNTBLANK(A174:L174)=12,"",1)</f>
        <v/>
      </c>
      <c r="O174" s="40" t="n"/>
    </row>
    <row r="175" ht="15" customHeight="1" s="34">
      <c r="A175" s="48" t="n"/>
      <c r="B175" s="41">
        <f>IF(A175="","",TEXT(A175,"mmm"))</f>
        <v/>
      </c>
      <c r="C175" s="41" t="n"/>
      <c r="D175" s="42" t="n"/>
      <c r="E175" s="41" t="n"/>
      <c r="F175" s="41">
        <f>IFERROR(INDEX(销售员主数据!$B$2:$B$101,MATCH($E175,销售员主数据!$A$2:$A$101,0)),"")</f>
        <v/>
      </c>
      <c r="G175" s="41">
        <f>IFERROR(INDEX(销售员主数据!$C$2:$C$101,MATCH($E175,销售员主数据!$A$2:$A$101,0)),"")</f>
        <v/>
      </c>
      <c r="H175" s="41">
        <f>IFERROR(INDEX(销售员主数据!$D$2:$D$101,MATCH($E175,销售员主数据!$A$2:$A$101,0)),"")</f>
        <v/>
      </c>
      <c r="I175" s="43" t="n"/>
      <c r="J175" s="43" t="n"/>
      <c r="K175" s="44" t="n"/>
      <c r="L175" s="58" t="n"/>
      <c r="M175" s="59" t="n"/>
      <c r="N175" s="60">
        <f>IF(COUNTBLANK(A175:L175)=12,"",1)</f>
        <v/>
      </c>
      <c r="O175" s="42" t="n"/>
    </row>
    <row r="176" ht="15" customHeight="1" s="34">
      <c r="A176" s="46" t="n"/>
      <c r="B176" s="39">
        <f>IF(A176="","",TEXT(A176,"mmm"))</f>
        <v/>
      </c>
      <c r="C176" s="39" t="n"/>
      <c r="D176" s="40" t="n"/>
      <c r="E176" s="39" t="n"/>
      <c r="F176" s="39">
        <f>IFERROR(INDEX(销售员主数据!$B$2:$B$101,MATCH($E176,销售员主数据!$A$2:$A$101,0)),"")</f>
        <v/>
      </c>
      <c r="G176" s="39">
        <f>IFERROR(INDEX(销售员主数据!$C$2:$C$101,MATCH($E176,销售员主数据!$A$2:$A$101,0)),"")</f>
        <v/>
      </c>
      <c r="H176" s="39">
        <f>IFERROR(INDEX(销售员主数据!$D$2:$D$101,MATCH($E176,销售员主数据!$A$2:$A$101,0)),"")</f>
        <v/>
      </c>
      <c r="I176" s="50" t="n"/>
      <c r="J176" s="50" t="n"/>
      <c r="K176" s="54" t="n"/>
      <c r="L176" s="55" t="n"/>
      <c r="M176" s="56" t="n"/>
      <c r="N176" s="57">
        <f>IF(COUNTBLANK(A176:L176)=12,"",1)</f>
        <v/>
      </c>
      <c r="O176" s="40" t="n"/>
    </row>
    <row r="177" ht="15" customHeight="1" s="34">
      <c r="A177" s="48" t="n"/>
      <c r="B177" s="41">
        <f>IF(A177="","",TEXT(A177,"mmm"))</f>
        <v/>
      </c>
      <c r="C177" s="41" t="n"/>
      <c r="D177" s="42" t="n"/>
      <c r="E177" s="41" t="n"/>
      <c r="F177" s="41">
        <f>IFERROR(INDEX(销售员主数据!$B$2:$B$101,MATCH($E177,销售员主数据!$A$2:$A$101,0)),"")</f>
        <v/>
      </c>
      <c r="G177" s="41">
        <f>IFERROR(INDEX(销售员主数据!$C$2:$C$101,MATCH($E177,销售员主数据!$A$2:$A$101,0)),"")</f>
        <v/>
      </c>
      <c r="H177" s="41">
        <f>IFERROR(INDEX(销售员主数据!$D$2:$D$101,MATCH($E177,销售员主数据!$A$2:$A$101,0)),"")</f>
        <v/>
      </c>
      <c r="I177" s="43" t="n"/>
      <c r="J177" s="43" t="n"/>
      <c r="K177" s="44" t="n"/>
      <c r="L177" s="58" t="n"/>
      <c r="M177" s="59" t="n"/>
      <c r="N177" s="60">
        <f>IF(COUNTBLANK(A177:L177)=12,"",1)</f>
        <v/>
      </c>
      <c r="O177" s="42" t="n"/>
    </row>
    <row r="178" ht="15" customHeight="1" s="34">
      <c r="A178" s="46" t="n"/>
      <c r="B178" s="39">
        <f>IF(A178="","",TEXT(A178,"mmm"))</f>
        <v/>
      </c>
      <c r="C178" s="39" t="n"/>
      <c r="D178" s="40" t="n"/>
      <c r="E178" s="39" t="n"/>
      <c r="F178" s="39">
        <f>IFERROR(INDEX(销售员主数据!$B$2:$B$101,MATCH($E178,销售员主数据!$A$2:$A$101,0)),"")</f>
        <v/>
      </c>
      <c r="G178" s="39">
        <f>IFERROR(INDEX(销售员主数据!$C$2:$C$101,MATCH($E178,销售员主数据!$A$2:$A$101,0)),"")</f>
        <v/>
      </c>
      <c r="H178" s="39">
        <f>IFERROR(INDEX(销售员主数据!$D$2:$D$101,MATCH($E178,销售员主数据!$A$2:$A$101,0)),"")</f>
        <v/>
      </c>
      <c r="I178" s="50" t="n"/>
      <c r="J178" s="50" t="n"/>
      <c r="K178" s="54" t="n"/>
      <c r="L178" s="55" t="n"/>
      <c r="M178" s="56" t="n"/>
      <c r="N178" s="57">
        <f>IF(COUNTBLANK(A178:L178)=12,"",1)</f>
        <v/>
      </c>
      <c r="O178" s="40" t="n"/>
    </row>
    <row r="179" ht="15" customHeight="1" s="34">
      <c r="A179" s="48" t="n"/>
      <c r="B179" s="41">
        <f>IF(A179="","",TEXT(A179,"mmm"))</f>
        <v/>
      </c>
      <c r="C179" s="41" t="n"/>
      <c r="D179" s="42" t="n"/>
      <c r="E179" s="41" t="n"/>
      <c r="F179" s="41">
        <f>IFERROR(INDEX(销售员主数据!$B$2:$B$101,MATCH($E179,销售员主数据!$A$2:$A$101,0)),"")</f>
        <v/>
      </c>
      <c r="G179" s="41">
        <f>IFERROR(INDEX(销售员主数据!$C$2:$C$101,MATCH($E179,销售员主数据!$A$2:$A$101,0)),"")</f>
        <v/>
      </c>
      <c r="H179" s="41">
        <f>IFERROR(INDEX(销售员主数据!$D$2:$D$101,MATCH($E179,销售员主数据!$A$2:$A$101,0)),"")</f>
        <v/>
      </c>
      <c r="I179" s="43" t="n"/>
      <c r="J179" s="43" t="n"/>
      <c r="K179" s="44" t="n"/>
      <c r="L179" s="58" t="n"/>
      <c r="M179" s="59" t="n"/>
      <c r="N179" s="60">
        <f>IF(COUNTBLANK(A179:L179)=12,"",1)</f>
        <v/>
      </c>
      <c r="O179" s="42" t="n"/>
    </row>
    <row r="180" ht="15" customHeight="1" s="34">
      <c r="A180" s="46" t="n"/>
      <c r="B180" s="39">
        <f>IF(A180="","",TEXT(A180,"mmm"))</f>
        <v/>
      </c>
      <c r="C180" s="39" t="n"/>
      <c r="D180" s="40" t="n"/>
      <c r="E180" s="39" t="n"/>
      <c r="F180" s="39">
        <f>IFERROR(INDEX(销售员主数据!$B$2:$B$101,MATCH($E180,销售员主数据!$A$2:$A$101,0)),"")</f>
        <v/>
      </c>
      <c r="G180" s="39">
        <f>IFERROR(INDEX(销售员主数据!$C$2:$C$101,MATCH($E180,销售员主数据!$A$2:$A$101,0)),"")</f>
        <v/>
      </c>
      <c r="H180" s="39">
        <f>IFERROR(INDEX(销售员主数据!$D$2:$D$101,MATCH($E180,销售员主数据!$A$2:$A$101,0)),"")</f>
        <v/>
      </c>
      <c r="I180" s="50" t="n"/>
      <c r="J180" s="50" t="n"/>
      <c r="K180" s="54" t="n"/>
      <c r="L180" s="55" t="n"/>
      <c r="M180" s="56" t="n"/>
      <c r="N180" s="57">
        <f>IF(COUNTBLANK(A180:L180)=12,"",1)</f>
        <v/>
      </c>
      <c r="O180" s="40" t="n"/>
    </row>
    <row r="181" ht="15" customHeight="1" s="34">
      <c r="A181" s="48" t="n"/>
      <c r="B181" s="41">
        <f>IF(A181="","",TEXT(A181,"mmm"))</f>
        <v/>
      </c>
      <c r="C181" s="41" t="n"/>
      <c r="D181" s="42" t="n"/>
      <c r="E181" s="41" t="n"/>
      <c r="F181" s="41">
        <f>IFERROR(INDEX(销售员主数据!$B$2:$B$101,MATCH($E181,销售员主数据!$A$2:$A$101,0)),"")</f>
        <v/>
      </c>
      <c r="G181" s="41">
        <f>IFERROR(INDEX(销售员主数据!$C$2:$C$101,MATCH($E181,销售员主数据!$A$2:$A$101,0)),"")</f>
        <v/>
      </c>
      <c r="H181" s="41">
        <f>IFERROR(INDEX(销售员主数据!$D$2:$D$101,MATCH($E181,销售员主数据!$A$2:$A$101,0)),"")</f>
        <v/>
      </c>
      <c r="I181" s="43" t="n"/>
      <c r="J181" s="43" t="n"/>
      <c r="K181" s="44" t="n"/>
      <c r="L181" s="58" t="n"/>
      <c r="M181" s="59" t="n"/>
      <c r="N181" s="60">
        <f>IF(COUNTBLANK(A181:L181)=12,"",1)</f>
        <v/>
      </c>
      <c r="O181" s="42" t="n"/>
    </row>
    <row r="182" ht="15" customHeight="1" s="34">
      <c r="A182" s="46" t="n"/>
      <c r="B182" s="39">
        <f>IF(A182="","",TEXT(A182,"mmm"))</f>
        <v/>
      </c>
      <c r="C182" s="39" t="n"/>
      <c r="D182" s="40" t="n"/>
      <c r="E182" s="39" t="n"/>
      <c r="F182" s="39">
        <f>IFERROR(INDEX(销售员主数据!$B$2:$B$101,MATCH($E182,销售员主数据!$A$2:$A$101,0)),"")</f>
        <v/>
      </c>
      <c r="G182" s="39">
        <f>IFERROR(INDEX(销售员主数据!$C$2:$C$101,MATCH($E182,销售员主数据!$A$2:$A$101,0)),"")</f>
        <v/>
      </c>
      <c r="H182" s="39">
        <f>IFERROR(INDEX(销售员主数据!$D$2:$D$101,MATCH($E182,销售员主数据!$A$2:$A$101,0)),"")</f>
        <v/>
      </c>
      <c r="I182" s="50" t="n"/>
      <c r="J182" s="50" t="n"/>
      <c r="K182" s="54" t="n"/>
      <c r="L182" s="55" t="n"/>
      <c r="M182" s="56" t="n"/>
      <c r="N182" s="57">
        <f>IF(COUNTBLANK(A182:L182)=12,"",1)</f>
        <v/>
      </c>
      <c r="O182" s="40" t="n"/>
    </row>
    <row r="183" ht="15" customHeight="1" s="34">
      <c r="A183" s="48" t="n"/>
      <c r="B183" s="41">
        <f>IF(A183="","",TEXT(A183,"mmm"))</f>
        <v/>
      </c>
      <c r="C183" s="41" t="n"/>
      <c r="D183" s="42" t="n"/>
      <c r="E183" s="41" t="n"/>
      <c r="F183" s="41">
        <f>IFERROR(INDEX(销售员主数据!$B$2:$B$101,MATCH($E183,销售员主数据!$A$2:$A$101,0)),"")</f>
        <v/>
      </c>
      <c r="G183" s="41">
        <f>IFERROR(INDEX(销售员主数据!$C$2:$C$101,MATCH($E183,销售员主数据!$A$2:$A$101,0)),"")</f>
        <v/>
      </c>
      <c r="H183" s="41">
        <f>IFERROR(INDEX(销售员主数据!$D$2:$D$101,MATCH($E183,销售员主数据!$A$2:$A$101,0)),"")</f>
        <v/>
      </c>
      <c r="I183" s="43" t="n"/>
      <c r="J183" s="43" t="n"/>
      <c r="K183" s="44" t="n"/>
      <c r="L183" s="58" t="n"/>
      <c r="M183" s="59" t="n"/>
      <c r="N183" s="60">
        <f>IF(COUNTBLANK(A183:L183)=12,"",1)</f>
        <v/>
      </c>
      <c r="O183" s="42" t="n"/>
    </row>
    <row r="184" ht="15" customHeight="1" s="34">
      <c r="A184" s="46" t="n"/>
      <c r="B184" s="39">
        <f>IF(A184="","",TEXT(A184,"mmm"))</f>
        <v/>
      </c>
      <c r="C184" s="39" t="n"/>
      <c r="D184" s="40" t="n"/>
      <c r="E184" s="39" t="n"/>
      <c r="F184" s="39">
        <f>IFERROR(INDEX(销售员主数据!$B$2:$B$101,MATCH($E184,销售员主数据!$A$2:$A$101,0)),"")</f>
        <v/>
      </c>
      <c r="G184" s="39">
        <f>IFERROR(INDEX(销售员主数据!$C$2:$C$101,MATCH($E184,销售员主数据!$A$2:$A$101,0)),"")</f>
        <v/>
      </c>
      <c r="H184" s="39">
        <f>IFERROR(INDEX(销售员主数据!$D$2:$D$101,MATCH($E184,销售员主数据!$A$2:$A$101,0)),"")</f>
        <v/>
      </c>
      <c r="I184" s="50" t="n"/>
      <c r="J184" s="50" t="n"/>
      <c r="K184" s="54" t="n"/>
      <c r="L184" s="55" t="n"/>
      <c r="M184" s="56" t="n"/>
      <c r="N184" s="57">
        <f>IF(COUNTBLANK(A184:L184)=12,"",1)</f>
        <v/>
      </c>
      <c r="O184" s="40" t="n"/>
    </row>
    <row r="185" ht="15" customHeight="1" s="34">
      <c r="A185" s="48" t="n"/>
      <c r="B185" s="41">
        <f>IF(A185="","",TEXT(A185,"mmm"))</f>
        <v/>
      </c>
      <c r="C185" s="41" t="n"/>
      <c r="D185" s="42" t="n"/>
      <c r="E185" s="41" t="n"/>
      <c r="F185" s="41">
        <f>IFERROR(INDEX(销售员主数据!$B$2:$B$101,MATCH($E185,销售员主数据!$A$2:$A$101,0)),"")</f>
        <v/>
      </c>
      <c r="G185" s="41">
        <f>IFERROR(INDEX(销售员主数据!$C$2:$C$101,MATCH($E185,销售员主数据!$A$2:$A$101,0)),"")</f>
        <v/>
      </c>
      <c r="H185" s="41">
        <f>IFERROR(INDEX(销售员主数据!$D$2:$D$101,MATCH($E185,销售员主数据!$A$2:$A$101,0)),"")</f>
        <v/>
      </c>
      <c r="I185" s="43" t="n"/>
      <c r="J185" s="43" t="n"/>
      <c r="K185" s="44" t="n"/>
      <c r="L185" s="58" t="n"/>
      <c r="M185" s="59" t="n"/>
      <c r="N185" s="60">
        <f>IF(COUNTBLANK(A185:L185)=12,"",1)</f>
        <v/>
      </c>
      <c r="O185" s="42" t="n"/>
    </row>
    <row r="186" ht="15" customHeight="1" s="34">
      <c r="A186" s="46" t="n"/>
      <c r="B186" s="39">
        <f>IF(A186="","",TEXT(A186,"mmm"))</f>
        <v/>
      </c>
      <c r="C186" s="39" t="n"/>
      <c r="D186" s="40" t="n"/>
      <c r="E186" s="39" t="n"/>
      <c r="F186" s="39">
        <f>IFERROR(INDEX(销售员主数据!$B$2:$B$101,MATCH($E186,销售员主数据!$A$2:$A$101,0)),"")</f>
        <v/>
      </c>
      <c r="G186" s="39">
        <f>IFERROR(INDEX(销售员主数据!$C$2:$C$101,MATCH($E186,销售员主数据!$A$2:$A$101,0)),"")</f>
        <v/>
      </c>
      <c r="H186" s="39">
        <f>IFERROR(INDEX(销售员主数据!$D$2:$D$101,MATCH($E186,销售员主数据!$A$2:$A$101,0)),"")</f>
        <v/>
      </c>
      <c r="I186" s="50" t="n"/>
      <c r="J186" s="50" t="n"/>
      <c r="K186" s="54" t="n"/>
      <c r="L186" s="55" t="n"/>
      <c r="M186" s="56" t="n"/>
      <c r="N186" s="57">
        <f>IF(COUNTBLANK(A186:L186)=12,"",1)</f>
        <v/>
      </c>
      <c r="O186" s="40" t="n"/>
    </row>
    <row r="187" ht="15" customHeight="1" s="34">
      <c r="A187" s="48" t="n"/>
      <c r="B187" s="41">
        <f>IF(A187="","",TEXT(A187,"mmm"))</f>
        <v/>
      </c>
      <c r="C187" s="41" t="n"/>
      <c r="D187" s="42" t="n"/>
      <c r="E187" s="41" t="n"/>
      <c r="F187" s="41">
        <f>IFERROR(INDEX(销售员主数据!$B$2:$B$101,MATCH($E187,销售员主数据!$A$2:$A$101,0)),"")</f>
        <v/>
      </c>
      <c r="G187" s="41">
        <f>IFERROR(INDEX(销售员主数据!$C$2:$C$101,MATCH($E187,销售员主数据!$A$2:$A$101,0)),"")</f>
        <v/>
      </c>
      <c r="H187" s="41">
        <f>IFERROR(INDEX(销售员主数据!$D$2:$D$101,MATCH($E187,销售员主数据!$A$2:$A$101,0)),"")</f>
        <v/>
      </c>
      <c r="I187" s="43" t="n"/>
      <c r="J187" s="43" t="n"/>
      <c r="K187" s="44" t="n"/>
      <c r="L187" s="58" t="n"/>
      <c r="M187" s="59" t="n"/>
      <c r="N187" s="60">
        <f>IF(COUNTBLANK(A187:L187)=12,"",1)</f>
        <v/>
      </c>
      <c r="O187" s="42" t="n"/>
    </row>
    <row r="188" ht="15" customHeight="1" s="34">
      <c r="A188" s="46" t="n"/>
      <c r="B188" s="39">
        <f>IF(A188="","",TEXT(A188,"mmm"))</f>
        <v/>
      </c>
      <c r="C188" s="39" t="n"/>
      <c r="D188" s="40" t="n"/>
      <c r="E188" s="39" t="n"/>
      <c r="F188" s="39">
        <f>IFERROR(INDEX(销售员主数据!$B$2:$B$101,MATCH($E188,销售员主数据!$A$2:$A$101,0)),"")</f>
        <v/>
      </c>
      <c r="G188" s="39">
        <f>IFERROR(INDEX(销售员主数据!$C$2:$C$101,MATCH($E188,销售员主数据!$A$2:$A$101,0)),"")</f>
        <v/>
      </c>
      <c r="H188" s="39">
        <f>IFERROR(INDEX(销售员主数据!$D$2:$D$101,MATCH($E188,销售员主数据!$A$2:$A$101,0)),"")</f>
        <v/>
      </c>
      <c r="I188" s="50" t="n"/>
      <c r="J188" s="50" t="n"/>
      <c r="K188" s="54" t="n"/>
      <c r="L188" s="55" t="n"/>
      <c r="M188" s="56" t="n"/>
      <c r="N188" s="57">
        <f>IF(COUNTBLANK(A188:L188)=12,"",1)</f>
        <v/>
      </c>
      <c r="O188" s="40" t="n"/>
    </row>
    <row r="189" ht="15" customHeight="1" s="34">
      <c r="A189" s="48" t="n"/>
      <c r="B189" s="41">
        <f>IF(A189="","",TEXT(A189,"mmm"))</f>
        <v/>
      </c>
      <c r="C189" s="41" t="n"/>
      <c r="D189" s="42" t="n"/>
      <c r="E189" s="41" t="n"/>
      <c r="F189" s="41">
        <f>IFERROR(INDEX(销售员主数据!$B$2:$B$101,MATCH($E189,销售员主数据!$A$2:$A$101,0)),"")</f>
        <v/>
      </c>
      <c r="G189" s="41">
        <f>IFERROR(INDEX(销售员主数据!$C$2:$C$101,MATCH($E189,销售员主数据!$A$2:$A$101,0)),"")</f>
        <v/>
      </c>
      <c r="H189" s="41">
        <f>IFERROR(INDEX(销售员主数据!$D$2:$D$101,MATCH($E189,销售员主数据!$A$2:$A$101,0)),"")</f>
        <v/>
      </c>
      <c r="I189" s="43" t="n"/>
      <c r="J189" s="43" t="n"/>
      <c r="K189" s="44" t="n"/>
      <c r="L189" s="58" t="n"/>
      <c r="M189" s="59" t="n"/>
      <c r="N189" s="60">
        <f>IF(COUNTBLANK(A189:L189)=12,"",1)</f>
        <v/>
      </c>
      <c r="O189" s="42" t="n"/>
    </row>
    <row r="190" ht="15" customHeight="1" s="34">
      <c r="A190" s="46" t="n"/>
      <c r="B190" s="39">
        <f>IF(A190="","",TEXT(A190,"mmm"))</f>
        <v/>
      </c>
      <c r="C190" s="39" t="n"/>
      <c r="D190" s="40" t="n"/>
      <c r="E190" s="39" t="n"/>
      <c r="F190" s="39">
        <f>IFERROR(INDEX(销售员主数据!$B$2:$B$101,MATCH($E190,销售员主数据!$A$2:$A$101,0)),"")</f>
        <v/>
      </c>
      <c r="G190" s="39">
        <f>IFERROR(INDEX(销售员主数据!$C$2:$C$101,MATCH($E190,销售员主数据!$A$2:$A$101,0)),"")</f>
        <v/>
      </c>
      <c r="H190" s="39">
        <f>IFERROR(INDEX(销售员主数据!$D$2:$D$101,MATCH($E190,销售员主数据!$A$2:$A$101,0)),"")</f>
        <v/>
      </c>
      <c r="I190" s="50" t="n"/>
      <c r="J190" s="50" t="n"/>
      <c r="K190" s="54" t="n"/>
      <c r="L190" s="55" t="n"/>
      <c r="M190" s="56" t="n"/>
      <c r="N190" s="57">
        <f>IF(COUNTBLANK(A190:L190)=12,"",1)</f>
        <v/>
      </c>
      <c r="O190" s="40" t="n"/>
    </row>
    <row r="191" ht="15" customHeight="1" s="34">
      <c r="A191" s="48" t="n"/>
      <c r="B191" s="41">
        <f>IF(A191="","",TEXT(A191,"mmm"))</f>
        <v/>
      </c>
      <c r="C191" s="41" t="n"/>
      <c r="D191" s="42" t="n"/>
      <c r="E191" s="41" t="n"/>
      <c r="F191" s="41">
        <f>IFERROR(INDEX(销售员主数据!$B$2:$B$101,MATCH($E191,销售员主数据!$A$2:$A$101,0)),"")</f>
        <v/>
      </c>
      <c r="G191" s="41">
        <f>IFERROR(INDEX(销售员主数据!$C$2:$C$101,MATCH($E191,销售员主数据!$A$2:$A$101,0)),"")</f>
        <v/>
      </c>
      <c r="H191" s="41">
        <f>IFERROR(INDEX(销售员主数据!$D$2:$D$101,MATCH($E191,销售员主数据!$A$2:$A$101,0)),"")</f>
        <v/>
      </c>
      <c r="I191" s="43" t="n"/>
      <c r="J191" s="43" t="n"/>
      <c r="K191" s="44" t="n"/>
      <c r="L191" s="58" t="n"/>
      <c r="M191" s="59" t="n"/>
      <c r="N191" s="60">
        <f>IF(COUNTBLANK(A191:L191)=12,"",1)</f>
        <v/>
      </c>
      <c r="O191" s="42" t="n"/>
    </row>
    <row r="192" ht="15" customHeight="1" s="34">
      <c r="A192" s="46" t="n"/>
      <c r="B192" s="39">
        <f>IF(A192="","",TEXT(A192,"mmm"))</f>
        <v/>
      </c>
      <c r="C192" s="39" t="n"/>
      <c r="D192" s="40" t="n"/>
      <c r="E192" s="39" t="n"/>
      <c r="F192" s="39">
        <f>IFERROR(INDEX(销售员主数据!$B$2:$B$101,MATCH($E192,销售员主数据!$A$2:$A$101,0)),"")</f>
        <v/>
      </c>
      <c r="G192" s="39">
        <f>IFERROR(INDEX(销售员主数据!$C$2:$C$101,MATCH($E192,销售员主数据!$A$2:$A$101,0)),"")</f>
        <v/>
      </c>
      <c r="H192" s="39">
        <f>IFERROR(INDEX(销售员主数据!$D$2:$D$101,MATCH($E192,销售员主数据!$A$2:$A$101,0)),"")</f>
        <v/>
      </c>
      <c r="I192" s="50" t="n"/>
      <c r="J192" s="50" t="n"/>
      <c r="K192" s="54" t="n"/>
      <c r="L192" s="55" t="n"/>
      <c r="M192" s="56" t="n"/>
      <c r="N192" s="57">
        <f>IF(COUNTBLANK(A192:L192)=12,"",1)</f>
        <v/>
      </c>
      <c r="O192" s="40" t="n"/>
    </row>
    <row r="193" ht="15" customHeight="1" s="34">
      <c r="A193" s="48" t="n"/>
      <c r="B193" s="41">
        <f>IF(A193="","",TEXT(A193,"mmm"))</f>
        <v/>
      </c>
      <c r="C193" s="41" t="n"/>
      <c r="D193" s="42" t="n"/>
      <c r="E193" s="41" t="n"/>
      <c r="F193" s="41">
        <f>IFERROR(INDEX(销售员主数据!$B$2:$B$101,MATCH($E193,销售员主数据!$A$2:$A$101,0)),"")</f>
        <v/>
      </c>
      <c r="G193" s="41">
        <f>IFERROR(INDEX(销售员主数据!$C$2:$C$101,MATCH($E193,销售员主数据!$A$2:$A$101,0)),"")</f>
        <v/>
      </c>
      <c r="H193" s="41">
        <f>IFERROR(INDEX(销售员主数据!$D$2:$D$101,MATCH($E193,销售员主数据!$A$2:$A$101,0)),"")</f>
        <v/>
      </c>
      <c r="I193" s="43" t="n"/>
      <c r="J193" s="43" t="n"/>
      <c r="K193" s="44" t="n"/>
      <c r="L193" s="58" t="n"/>
      <c r="M193" s="59" t="n"/>
      <c r="N193" s="60">
        <f>IF(COUNTBLANK(A193:L193)=12,"",1)</f>
        <v/>
      </c>
      <c r="O193" s="42" t="n"/>
    </row>
    <row r="194" ht="15" customHeight="1" s="34">
      <c r="A194" s="46" t="n"/>
      <c r="B194" s="39">
        <f>IF(A194="","",TEXT(A194,"mmm"))</f>
        <v/>
      </c>
      <c r="C194" s="39" t="n"/>
      <c r="D194" s="40" t="n"/>
      <c r="E194" s="39" t="n"/>
      <c r="F194" s="39">
        <f>IFERROR(INDEX(销售员主数据!$B$2:$B$101,MATCH($E194,销售员主数据!$A$2:$A$101,0)),"")</f>
        <v/>
      </c>
      <c r="G194" s="39">
        <f>IFERROR(INDEX(销售员主数据!$C$2:$C$101,MATCH($E194,销售员主数据!$A$2:$A$101,0)),"")</f>
        <v/>
      </c>
      <c r="H194" s="39">
        <f>IFERROR(INDEX(销售员主数据!$D$2:$D$101,MATCH($E194,销售员主数据!$A$2:$A$101,0)),"")</f>
        <v/>
      </c>
      <c r="I194" s="50" t="n"/>
      <c r="J194" s="50" t="n"/>
      <c r="K194" s="54" t="n"/>
      <c r="L194" s="55" t="n"/>
      <c r="M194" s="56" t="n"/>
      <c r="N194" s="57">
        <f>IF(COUNTBLANK(A194:L194)=12,"",1)</f>
        <v/>
      </c>
      <c r="O194" s="40" t="n"/>
    </row>
    <row r="195" ht="15" customHeight="1" s="34">
      <c r="A195" s="48" t="n"/>
      <c r="B195" s="41">
        <f>IF(A195="","",TEXT(A195,"mmm"))</f>
        <v/>
      </c>
      <c r="C195" s="41" t="n"/>
      <c r="D195" s="42" t="n"/>
      <c r="E195" s="41" t="n"/>
      <c r="F195" s="41">
        <f>IFERROR(INDEX(销售员主数据!$B$2:$B$101,MATCH($E195,销售员主数据!$A$2:$A$101,0)),"")</f>
        <v/>
      </c>
      <c r="G195" s="41">
        <f>IFERROR(INDEX(销售员主数据!$C$2:$C$101,MATCH($E195,销售员主数据!$A$2:$A$101,0)),"")</f>
        <v/>
      </c>
      <c r="H195" s="41">
        <f>IFERROR(INDEX(销售员主数据!$D$2:$D$101,MATCH($E195,销售员主数据!$A$2:$A$101,0)),"")</f>
        <v/>
      </c>
      <c r="I195" s="43" t="n"/>
      <c r="J195" s="43" t="n"/>
      <c r="K195" s="44" t="n"/>
      <c r="L195" s="58" t="n"/>
      <c r="M195" s="59" t="n"/>
      <c r="N195" s="60">
        <f>IF(COUNTBLANK(A195:L195)=12,"",1)</f>
        <v/>
      </c>
      <c r="O195" s="42" t="n"/>
    </row>
    <row r="196" ht="15" customHeight="1" s="34">
      <c r="A196" s="46" t="n"/>
      <c r="B196" s="39">
        <f>IF(A196="","",TEXT(A196,"mmm"))</f>
        <v/>
      </c>
      <c r="C196" s="39" t="n"/>
      <c r="D196" s="40" t="n"/>
      <c r="E196" s="39" t="n"/>
      <c r="F196" s="39">
        <f>IFERROR(INDEX(销售员主数据!$B$2:$B$101,MATCH($E196,销售员主数据!$A$2:$A$101,0)),"")</f>
        <v/>
      </c>
      <c r="G196" s="39">
        <f>IFERROR(INDEX(销售员主数据!$C$2:$C$101,MATCH($E196,销售员主数据!$A$2:$A$101,0)),"")</f>
        <v/>
      </c>
      <c r="H196" s="39">
        <f>IFERROR(INDEX(销售员主数据!$D$2:$D$101,MATCH($E196,销售员主数据!$A$2:$A$101,0)),"")</f>
        <v/>
      </c>
      <c r="I196" s="50" t="n"/>
      <c r="J196" s="50" t="n"/>
      <c r="K196" s="54" t="n"/>
      <c r="L196" s="55" t="n"/>
      <c r="M196" s="56" t="n"/>
      <c r="N196" s="57">
        <f>IF(COUNTBLANK(A196:L196)=12,"",1)</f>
        <v/>
      </c>
      <c r="O196" s="40" t="n"/>
    </row>
    <row r="197" ht="15" customHeight="1" s="34">
      <c r="A197" s="48" t="n"/>
      <c r="B197" s="41">
        <f>IF(A197="","",TEXT(A197,"mmm"))</f>
        <v/>
      </c>
      <c r="C197" s="41" t="n"/>
      <c r="D197" s="42" t="n"/>
      <c r="E197" s="41" t="n"/>
      <c r="F197" s="41">
        <f>IFERROR(INDEX(销售员主数据!$B$2:$B$101,MATCH($E197,销售员主数据!$A$2:$A$101,0)),"")</f>
        <v/>
      </c>
      <c r="G197" s="41">
        <f>IFERROR(INDEX(销售员主数据!$C$2:$C$101,MATCH($E197,销售员主数据!$A$2:$A$101,0)),"")</f>
        <v/>
      </c>
      <c r="H197" s="41">
        <f>IFERROR(INDEX(销售员主数据!$D$2:$D$101,MATCH($E197,销售员主数据!$A$2:$A$101,0)),"")</f>
        <v/>
      </c>
      <c r="I197" s="43" t="n"/>
      <c r="J197" s="43" t="n"/>
      <c r="K197" s="44" t="n"/>
      <c r="L197" s="58" t="n"/>
      <c r="M197" s="59" t="n"/>
      <c r="N197" s="60">
        <f>IF(COUNTBLANK(A197:L197)=12,"",1)</f>
        <v/>
      </c>
      <c r="O197" s="42" t="n"/>
    </row>
    <row r="198" ht="15" customHeight="1" s="34">
      <c r="A198" s="46" t="n"/>
      <c r="B198" s="39">
        <f>IF(A198="","",TEXT(A198,"mmm"))</f>
        <v/>
      </c>
      <c r="C198" s="39" t="n"/>
      <c r="D198" s="40" t="n"/>
      <c r="E198" s="39" t="n"/>
      <c r="F198" s="39">
        <f>IFERROR(INDEX(销售员主数据!$B$2:$B$101,MATCH($E198,销售员主数据!$A$2:$A$101,0)),"")</f>
        <v/>
      </c>
      <c r="G198" s="39">
        <f>IFERROR(INDEX(销售员主数据!$C$2:$C$101,MATCH($E198,销售员主数据!$A$2:$A$101,0)),"")</f>
        <v/>
      </c>
      <c r="H198" s="39">
        <f>IFERROR(INDEX(销售员主数据!$D$2:$D$101,MATCH($E198,销售员主数据!$A$2:$A$101,0)),"")</f>
        <v/>
      </c>
      <c r="I198" s="50" t="n"/>
      <c r="J198" s="50" t="n"/>
      <c r="K198" s="54" t="n"/>
      <c r="L198" s="55" t="n"/>
      <c r="M198" s="56" t="n"/>
      <c r="N198" s="57">
        <f>IF(COUNTBLANK(A198:L198)=12,"",1)</f>
        <v/>
      </c>
      <c r="O198" s="40" t="n"/>
    </row>
    <row r="199" ht="15" customHeight="1" s="34">
      <c r="A199" s="48" t="n"/>
      <c r="B199" s="41">
        <f>IF(A199="","",TEXT(A199,"mmm"))</f>
        <v/>
      </c>
      <c r="C199" s="41" t="n"/>
      <c r="D199" s="42" t="n"/>
      <c r="E199" s="41" t="n"/>
      <c r="F199" s="41">
        <f>IFERROR(INDEX(销售员主数据!$B$2:$B$101,MATCH($E199,销售员主数据!$A$2:$A$101,0)),"")</f>
        <v/>
      </c>
      <c r="G199" s="41">
        <f>IFERROR(INDEX(销售员主数据!$C$2:$C$101,MATCH($E199,销售员主数据!$A$2:$A$101,0)),"")</f>
        <v/>
      </c>
      <c r="H199" s="41">
        <f>IFERROR(INDEX(销售员主数据!$D$2:$D$101,MATCH($E199,销售员主数据!$A$2:$A$101,0)),"")</f>
        <v/>
      </c>
      <c r="I199" s="43" t="n"/>
      <c r="J199" s="43" t="n"/>
      <c r="K199" s="44" t="n"/>
      <c r="L199" s="58" t="n"/>
      <c r="M199" s="59" t="n"/>
      <c r="N199" s="60">
        <f>IF(COUNTBLANK(A199:L199)=12,"",1)</f>
        <v/>
      </c>
      <c r="O199" s="42" t="n"/>
    </row>
    <row r="200" ht="15" customHeight="1" s="34">
      <c r="A200" s="46" t="n"/>
      <c r="B200" s="39">
        <f>IF(A200="","",TEXT(A200,"mmm"))</f>
        <v/>
      </c>
      <c r="C200" s="39" t="n"/>
      <c r="D200" s="40" t="n"/>
      <c r="E200" s="39" t="n"/>
      <c r="F200" s="39">
        <f>IFERROR(INDEX(销售员主数据!$B$2:$B$101,MATCH($E200,销售员主数据!$A$2:$A$101,0)),"")</f>
        <v/>
      </c>
      <c r="G200" s="39">
        <f>IFERROR(INDEX(销售员主数据!$C$2:$C$101,MATCH($E200,销售员主数据!$A$2:$A$101,0)),"")</f>
        <v/>
      </c>
      <c r="H200" s="39">
        <f>IFERROR(INDEX(销售员主数据!$D$2:$D$101,MATCH($E200,销售员主数据!$A$2:$A$101,0)),"")</f>
        <v/>
      </c>
      <c r="I200" s="50" t="n"/>
      <c r="J200" s="50" t="n"/>
      <c r="K200" s="54" t="n"/>
      <c r="L200" s="55" t="n"/>
      <c r="M200" s="56" t="n"/>
      <c r="N200" s="57">
        <f>IF(COUNTBLANK(A200:L200)=12,"",1)</f>
        <v/>
      </c>
      <c r="O200" s="40" t="n"/>
    </row>
    <row r="201" ht="15" customHeight="1" s="34">
      <c r="A201" s="48" t="n"/>
      <c r="B201" s="41">
        <f>IF(A201="","",TEXT(A201,"mmm"))</f>
        <v/>
      </c>
      <c r="C201" s="41" t="n"/>
      <c r="D201" s="42" t="n"/>
      <c r="E201" s="41" t="n"/>
      <c r="F201" s="41">
        <f>IFERROR(INDEX(销售员主数据!$B$2:$B$101,MATCH($E201,销售员主数据!$A$2:$A$101,0)),"")</f>
        <v/>
      </c>
      <c r="G201" s="41">
        <f>IFERROR(INDEX(销售员主数据!$C$2:$C$101,MATCH($E201,销售员主数据!$A$2:$A$101,0)),"")</f>
        <v/>
      </c>
      <c r="H201" s="41">
        <f>IFERROR(INDEX(销售员主数据!$D$2:$D$101,MATCH($E201,销售员主数据!$A$2:$A$101,0)),"")</f>
        <v/>
      </c>
      <c r="I201" s="43" t="n"/>
      <c r="J201" s="43" t="n"/>
      <c r="K201" s="44" t="n"/>
      <c r="L201" s="58" t="n"/>
      <c r="M201" s="59" t="n"/>
      <c r="N201" s="60">
        <f>IF(COUNTBLANK(A201:L201)=12,"",1)</f>
        <v/>
      </c>
      <c r="O201" s="42" t="n"/>
    </row>
    <row r="202" ht="15" customHeight="1" s="34">
      <c r="A202" s="46" t="n"/>
      <c r="B202" s="39">
        <f>IF(A202="","",TEXT(A202,"mmm"))</f>
        <v/>
      </c>
      <c r="C202" s="39" t="n"/>
      <c r="D202" s="40" t="n"/>
      <c r="E202" s="39" t="n"/>
      <c r="F202" s="39">
        <f>IFERROR(INDEX(销售员主数据!$B$2:$B$101,MATCH($E202,销售员主数据!$A$2:$A$101,0)),"")</f>
        <v/>
      </c>
      <c r="G202" s="39">
        <f>IFERROR(INDEX(销售员主数据!$C$2:$C$101,MATCH($E202,销售员主数据!$A$2:$A$101,0)),"")</f>
        <v/>
      </c>
      <c r="H202" s="39">
        <f>IFERROR(INDEX(销售员主数据!$D$2:$D$101,MATCH($E202,销售员主数据!$A$2:$A$101,0)),"")</f>
        <v/>
      </c>
      <c r="I202" s="50" t="n"/>
      <c r="J202" s="50" t="n"/>
      <c r="K202" s="54" t="n"/>
      <c r="L202" s="55" t="n"/>
      <c r="M202" s="56" t="n"/>
      <c r="N202" s="57">
        <f>IF(COUNTBLANK(A202:L202)=12,"",1)</f>
        <v/>
      </c>
      <c r="O202" s="40" t="n"/>
    </row>
    <row r="203" ht="15" customHeight="1" s="34">
      <c r="A203" s="48" t="n"/>
      <c r="B203" s="41">
        <f>IF(A203="","",TEXT(A203,"mmm"))</f>
        <v/>
      </c>
      <c r="C203" s="41" t="n"/>
      <c r="D203" s="42" t="n"/>
      <c r="E203" s="41" t="n"/>
      <c r="F203" s="41">
        <f>IFERROR(INDEX(销售员主数据!$B$2:$B$101,MATCH($E203,销售员主数据!$A$2:$A$101,0)),"")</f>
        <v/>
      </c>
      <c r="G203" s="41">
        <f>IFERROR(INDEX(销售员主数据!$C$2:$C$101,MATCH($E203,销售员主数据!$A$2:$A$101,0)),"")</f>
        <v/>
      </c>
      <c r="H203" s="41">
        <f>IFERROR(INDEX(销售员主数据!$D$2:$D$101,MATCH($E203,销售员主数据!$A$2:$A$101,0)),"")</f>
        <v/>
      </c>
      <c r="I203" s="43" t="n"/>
      <c r="J203" s="43" t="n"/>
      <c r="K203" s="44" t="n"/>
      <c r="L203" s="58" t="n"/>
      <c r="M203" s="59" t="n"/>
      <c r="N203" s="60">
        <f>IF(COUNTBLANK(A203:L203)=12,"",1)</f>
        <v/>
      </c>
      <c r="O203" s="42" t="n"/>
    </row>
    <row r="204" ht="15" customHeight="1" s="34">
      <c r="A204" s="46" t="n"/>
      <c r="B204" s="39">
        <f>IF(A204="","",TEXT(A204,"mmm"))</f>
        <v/>
      </c>
      <c r="C204" s="39" t="n"/>
      <c r="D204" s="40" t="n"/>
      <c r="E204" s="39" t="n"/>
      <c r="F204" s="39">
        <f>IFERROR(INDEX(销售员主数据!$B$2:$B$101,MATCH($E204,销售员主数据!$A$2:$A$101,0)),"")</f>
        <v/>
      </c>
      <c r="G204" s="39">
        <f>IFERROR(INDEX(销售员主数据!$C$2:$C$101,MATCH($E204,销售员主数据!$A$2:$A$101,0)),"")</f>
        <v/>
      </c>
      <c r="H204" s="39">
        <f>IFERROR(INDEX(销售员主数据!$D$2:$D$101,MATCH($E204,销售员主数据!$A$2:$A$101,0)),"")</f>
        <v/>
      </c>
      <c r="I204" s="50" t="n"/>
      <c r="J204" s="50" t="n"/>
      <c r="K204" s="54" t="n"/>
      <c r="L204" s="55" t="n"/>
      <c r="M204" s="56" t="n"/>
      <c r="N204" s="57">
        <f>IF(COUNTBLANK(A204:L204)=12,"",1)</f>
        <v/>
      </c>
      <c r="O204" s="40" t="n"/>
    </row>
    <row r="205" ht="15" customHeight="1" s="34">
      <c r="A205" s="48" t="n"/>
      <c r="B205" s="41">
        <f>IF(A205="","",TEXT(A205,"mmm"))</f>
        <v/>
      </c>
      <c r="C205" s="41" t="n"/>
      <c r="D205" s="42" t="n"/>
      <c r="E205" s="41" t="n"/>
      <c r="F205" s="41">
        <f>IFERROR(INDEX(销售员主数据!$B$2:$B$101,MATCH($E205,销售员主数据!$A$2:$A$101,0)),"")</f>
        <v/>
      </c>
      <c r="G205" s="41">
        <f>IFERROR(INDEX(销售员主数据!$C$2:$C$101,MATCH($E205,销售员主数据!$A$2:$A$101,0)),"")</f>
        <v/>
      </c>
      <c r="H205" s="41">
        <f>IFERROR(INDEX(销售员主数据!$D$2:$D$101,MATCH($E205,销售员主数据!$A$2:$A$101,0)),"")</f>
        <v/>
      </c>
      <c r="I205" s="43" t="n"/>
      <c r="J205" s="43" t="n"/>
      <c r="K205" s="44" t="n"/>
      <c r="L205" s="58" t="n"/>
      <c r="M205" s="59" t="n"/>
      <c r="N205" s="60">
        <f>IF(COUNTBLANK(A205:L205)=12,"",1)</f>
        <v/>
      </c>
      <c r="O205" s="42" t="n"/>
    </row>
    <row r="206" ht="15" customHeight="1" s="34">
      <c r="A206" s="46" t="n"/>
      <c r="B206" s="39">
        <f>IF(A206="","",TEXT(A206,"mmm"))</f>
        <v/>
      </c>
      <c r="C206" s="39" t="n"/>
      <c r="D206" s="40" t="n"/>
      <c r="E206" s="39" t="n"/>
      <c r="F206" s="39">
        <f>IFERROR(INDEX(销售员主数据!$B$2:$B$101,MATCH($E206,销售员主数据!$A$2:$A$101,0)),"")</f>
        <v/>
      </c>
      <c r="G206" s="39">
        <f>IFERROR(INDEX(销售员主数据!$C$2:$C$101,MATCH($E206,销售员主数据!$A$2:$A$101,0)),"")</f>
        <v/>
      </c>
      <c r="H206" s="39">
        <f>IFERROR(INDEX(销售员主数据!$D$2:$D$101,MATCH($E206,销售员主数据!$A$2:$A$101,0)),"")</f>
        <v/>
      </c>
      <c r="I206" s="50" t="n"/>
      <c r="J206" s="50" t="n"/>
      <c r="K206" s="54" t="n"/>
      <c r="L206" s="55" t="n"/>
      <c r="M206" s="56" t="n"/>
      <c r="N206" s="57">
        <f>IF(COUNTBLANK(A206:L206)=12,"",1)</f>
        <v/>
      </c>
      <c r="O206" s="40" t="n"/>
    </row>
    <row r="207" ht="15" customHeight="1" s="34">
      <c r="A207" s="48" t="n"/>
      <c r="B207" s="41">
        <f>IF(A207="","",TEXT(A207,"mmm"))</f>
        <v/>
      </c>
      <c r="C207" s="41" t="n"/>
      <c r="D207" s="42" t="n"/>
      <c r="E207" s="41" t="n"/>
      <c r="F207" s="41">
        <f>IFERROR(INDEX(销售员主数据!$B$2:$B$101,MATCH($E207,销售员主数据!$A$2:$A$101,0)),"")</f>
        <v/>
      </c>
      <c r="G207" s="41">
        <f>IFERROR(INDEX(销售员主数据!$C$2:$C$101,MATCH($E207,销售员主数据!$A$2:$A$101,0)),"")</f>
        <v/>
      </c>
      <c r="H207" s="41">
        <f>IFERROR(INDEX(销售员主数据!$D$2:$D$101,MATCH($E207,销售员主数据!$A$2:$A$101,0)),"")</f>
        <v/>
      </c>
      <c r="I207" s="43" t="n"/>
      <c r="J207" s="43" t="n"/>
      <c r="K207" s="44" t="n"/>
      <c r="L207" s="58" t="n"/>
      <c r="M207" s="59" t="n"/>
      <c r="N207" s="60">
        <f>IF(COUNTBLANK(A207:L207)=12,"",1)</f>
        <v/>
      </c>
      <c r="O207" s="42" t="n"/>
    </row>
    <row r="208" ht="15" customHeight="1" s="34">
      <c r="A208" s="46" t="n"/>
      <c r="B208" s="39">
        <f>IF(A208="","",TEXT(A208,"mmm"))</f>
        <v/>
      </c>
      <c r="C208" s="39" t="n"/>
      <c r="D208" s="40" t="n"/>
      <c r="E208" s="39" t="n"/>
      <c r="F208" s="39">
        <f>IFERROR(INDEX(销售员主数据!$B$2:$B$101,MATCH($E208,销售员主数据!$A$2:$A$101,0)),"")</f>
        <v/>
      </c>
      <c r="G208" s="39">
        <f>IFERROR(INDEX(销售员主数据!$C$2:$C$101,MATCH($E208,销售员主数据!$A$2:$A$101,0)),"")</f>
        <v/>
      </c>
      <c r="H208" s="39">
        <f>IFERROR(INDEX(销售员主数据!$D$2:$D$101,MATCH($E208,销售员主数据!$A$2:$A$101,0)),"")</f>
        <v/>
      </c>
      <c r="I208" s="50" t="n"/>
      <c r="J208" s="50" t="n"/>
      <c r="K208" s="54" t="n"/>
      <c r="L208" s="55" t="n"/>
      <c r="M208" s="56" t="n"/>
      <c r="N208" s="57">
        <f>IF(COUNTBLANK(A208:L208)=12,"",1)</f>
        <v/>
      </c>
      <c r="O208" s="40" t="n"/>
    </row>
    <row r="209" ht="15" customHeight="1" s="34">
      <c r="A209" s="48" t="n"/>
      <c r="B209" s="41">
        <f>IF(A209="","",TEXT(A209,"mmm"))</f>
        <v/>
      </c>
      <c r="C209" s="41" t="n"/>
      <c r="D209" s="42" t="n"/>
      <c r="E209" s="41" t="n"/>
      <c r="F209" s="41">
        <f>IFERROR(INDEX(销售员主数据!$B$2:$B$101,MATCH($E209,销售员主数据!$A$2:$A$101,0)),"")</f>
        <v/>
      </c>
      <c r="G209" s="41">
        <f>IFERROR(INDEX(销售员主数据!$C$2:$C$101,MATCH($E209,销售员主数据!$A$2:$A$101,0)),"")</f>
        <v/>
      </c>
      <c r="H209" s="41">
        <f>IFERROR(INDEX(销售员主数据!$D$2:$D$101,MATCH($E209,销售员主数据!$A$2:$A$101,0)),"")</f>
        <v/>
      </c>
      <c r="I209" s="43" t="n"/>
      <c r="J209" s="43" t="n"/>
      <c r="K209" s="44" t="n"/>
      <c r="L209" s="58" t="n"/>
      <c r="M209" s="59" t="n"/>
      <c r="N209" s="60">
        <f>IF(COUNTBLANK(A209:L209)=12,"",1)</f>
        <v/>
      </c>
      <c r="O209" s="42" t="n"/>
    </row>
    <row r="210" ht="15" customHeight="1" s="34">
      <c r="A210" s="46" t="n"/>
      <c r="B210" s="39">
        <f>IF(A210="","",TEXT(A210,"mmm"))</f>
        <v/>
      </c>
      <c r="C210" s="39" t="n"/>
      <c r="D210" s="40" t="n"/>
      <c r="E210" s="39" t="n"/>
      <c r="F210" s="39">
        <f>IFERROR(INDEX(销售员主数据!$B$2:$B$101,MATCH($E210,销售员主数据!$A$2:$A$101,0)),"")</f>
        <v/>
      </c>
      <c r="G210" s="39">
        <f>IFERROR(INDEX(销售员主数据!$C$2:$C$101,MATCH($E210,销售员主数据!$A$2:$A$101,0)),"")</f>
        <v/>
      </c>
      <c r="H210" s="39">
        <f>IFERROR(INDEX(销售员主数据!$D$2:$D$101,MATCH($E210,销售员主数据!$A$2:$A$101,0)),"")</f>
        <v/>
      </c>
      <c r="I210" s="50" t="n"/>
      <c r="J210" s="50" t="n"/>
      <c r="K210" s="54" t="n"/>
      <c r="L210" s="55" t="n"/>
      <c r="M210" s="56" t="n"/>
      <c r="N210" s="57">
        <f>IF(COUNTBLANK(A210:L210)=12,"",1)</f>
        <v/>
      </c>
      <c r="O210" s="40" t="n"/>
    </row>
    <row r="211" ht="15" customHeight="1" s="34">
      <c r="A211" s="48" t="n"/>
      <c r="B211" s="41">
        <f>IF(A211="","",TEXT(A211,"mmm"))</f>
        <v/>
      </c>
      <c r="C211" s="41" t="n"/>
      <c r="D211" s="42" t="n"/>
      <c r="E211" s="41" t="n"/>
      <c r="F211" s="41">
        <f>IFERROR(INDEX(销售员主数据!$B$2:$B$101,MATCH($E211,销售员主数据!$A$2:$A$101,0)),"")</f>
        <v/>
      </c>
      <c r="G211" s="41">
        <f>IFERROR(INDEX(销售员主数据!$C$2:$C$101,MATCH($E211,销售员主数据!$A$2:$A$101,0)),"")</f>
        <v/>
      </c>
      <c r="H211" s="41">
        <f>IFERROR(INDEX(销售员主数据!$D$2:$D$101,MATCH($E211,销售员主数据!$A$2:$A$101,0)),"")</f>
        <v/>
      </c>
      <c r="I211" s="43" t="n"/>
      <c r="J211" s="43" t="n"/>
      <c r="K211" s="44" t="n"/>
      <c r="L211" s="58" t="n"/>
      <c r="M211" s="59" t="n"/>
      <c r="N211" s="60">
        <f>IF(COUNTBLANK(A211:L211)=12,"",1)</f>
        <v/>
      </c>
      <c r="O211" s="42" t="n"/>
    </row>
    <row r="212" ht="15" customHeight="1" s="34">
      <c r="A212" s="46" t="n"/>
      <c r="B212" s="39">
        <f>IF(A212="","",TEXT(A212,"mmm"))</f>
        <v/>
      </c>
      <c r="C212" s="39" t="n"/>
      <c r="D212" s="40" t="n"/>
      <c r="E212" s="39" t="n"/>
      <c r="F212" s="39">
        <f>IFERROR(INDEX(销售员主数据!$B$2:$B$101,MATCH($E212,销售员主数据!$A$2:$A$101,0)),"")</f>
        <v/>
      </c>
      <c r="G212" s="39">
        <f>IFERROR(INDEX(销售员主数据!$C$2:$C$101,MATCH($E212,销售员主数据!$A$2:$A$101,0)),"")</f>
        <v/>
      </c>
      <c r="H212" s="39">
        <f>IFERROR(INDEX(销售员主数据!$D$2:$D$101,MATCH($E212,销售员主数据!$A$2:$A$101,0)),"")</f>
        <v/>
      </c>
      <c r="I212" s="50" t="n"/>
      <c r="J212" s="50" t="n"/>
      <c r="K212" s="54" t="n"/>
      <c r="L212" s="55" t="n"/>
      <c r="M212" s="56" t="n"/>
      <c r="N212" s="57">
        <f>IF(COUNTBLANK(A212:L212)=12,"",1)</f>
        <v/>
      </c>
      <c r="O212" s="40" t="n"/>
    </row>
    <row r="213" ht="15" customHeight="1" s="34">
      <c r="A213" s="48" t="n"/>
      <c r="B213" s="41">
        <f>IF(A213="","",TEXT(A213,"mmm"))</f>
        <v/>
      </c>
      <c r="C213" s="41" t="n"/>
      <c r="D213" s="42" t="n"/>
      <c r="E213" s="41" t="n"/>
      <c r="F213" s="41">
        <f>IFERROR(INDEX(销售员主数据!$B$2:$B$101,MATCH($E213,销售员主数据!$A$2:$A$101,0)),"")</f>
        <v/>
      </c>
      <c r="G213" s="41">
        <f>IFERROR(INDEX(销售员主数据!$C$2:$C$101,MATCH($E213,销售员主数据!$A$2:$A$101,0)),"")</f>
        <v/>
      </c>
      <c r="H213" s="41">
        <f>IFERROR(INDEX(销售员主数据!$D$2:$D$101,MATCH($E213,销售员主数据!$A$2:$A$101,0)),"")</f>
        <v/>
      </c>
      <c r="I213" s="43" t="n"/>
      <c r="J213" s="43" t="n"/>
      <c r="K213" s="44" t="n"/>
      <c r="L213" s="58" t="n"/>
      <c r="M213" s="59" t="n"/>
      <c r="N213" s="60">
        <f>IF(COUNTBLANK(A213:L213)=12,"",1)</f>
        <v/>
      </c>
      <c r="O213" s="42" t="n"/>
    </row>
    <row r="214" ht="15" customHeight="1" s="34">
      <c r="A214" s="46" t="n"/>
      <c r="B214" s="39">
        <f>IF(A214="","",TEXT(A214,"mmm"))</f>
        <v/>
      </c>
      <c r="C214" s="39" t="n"/>
      <c r="D214" s="40" t="n"/>
      <c r="E214" s="39" t="n"/>
      <c r="F214" s="39">
        <f>IFERROR(INDEX(销售员主数据!$B$2:$B$101,MATCH($E214,销售员主数据!$A$2:$A$101,0)),"")</f>
        <v/>
      </c>
      <c r="G214" s="39">
        <f>IFERROR(INDEX(销售员主数据!$C$2:$C$101,MATCH($E214,销售员主数据!$A$2:$A$101,0)),"")</f>
        <v/>
      </c>
      <c r="H214" s="39">
        <f>IFERROR(INDEX(销售员主数据!$D$2:$D$101,MATCH($E214,销售员主数据!$A$2:$A$101,0)),"")</f>
        <v/>
      </c>
      <c r="I214" s="50" t="n"/>
      <c r="J214" s="50" t="n"/>
      <c r="K214" s="54" t="n"/>
      <c r="L214" s="55" t="n"/>
      <c r="M214" s="56" t="n"/>
      <c r="N214" s="57">
        <f>IF(COUNTBLANK(A214:L214)=12,"",1)</f>
        <v/>
      </c>
      <c r="O214" s="40" t="n"/>
    </row>
    <row r="215" ht="15" customHeight="1" s="34">
      <c r="A215" s="48" t="n"/>
      <c r="B215" s="41">
        <f>IF(A215="","",TEXT(A215,"mmm"))</f>
        <v/>
      </c>
      <c r="C215" s="41" t="n"/>
      <c r="D215" s="42" t="n"/>
      <c r="E215" s="41" t="n"/>
      <c r="F215" s="41">
        <f>IFERROR(INDEX(销售员主数据!$B$2:$B$101,MATCH($E215,销售员主数据!$A$2:$A$101,0)),"")</f>
        <v/>
      </c>
      <c r="G215" s="41">
        <f>IFERROR(INDEX(销售员主数据!$C$2:$C$101,MATCH($E215,销售员主数据!$A$2:$A$101,0)),"")</f>
        <v/>
      </c>
      <c r="H215" s="41">
        <f>IFERROR(INDEX(销售员主数据!$D$2:$D$101,MATCH($E215,销售员主数据!$A$2:$A$101,0)),"")</f>
        <v/>
      </c>
      <c r="I215" s="43" t="n"/>
      <c r="J215" s="43" t="n"/>
      <c r="K215" s="44" t="n"/>
      <c r="L215" s="58" t="n"/>
      <c r="M215" s="59" t="n"/>
      <c r="N215" s="60">
        <f>IF(COUNTBLANK(A215:L215)=12,"",1)</f>
        <v/>
      </c>
      <c r="O215" s="42" t="n"/>
    </row>
    <row r="216" ht="15" customHeight="1" s="34">
      <c r="A216" s="46" t="n"/>
      <c r="B216" s="39">
        <f>IF(A216="","",TEXT(A216,"mmm"))</f>
        <v/>
      </c>
      <c r="C216" s="39" t="n"/>
      <c r="D216" s="40" t="n"/>
      <c r="E216" s="39" t="n"/>
      <c r="F216" s="39">
        <f>IFERROR(INDEX(销售员主数据!$B$2:$B$101,MATCH($E216,销售员主数据!$A$2:$A$101,0)),"")</f>
        <v/>
      </c>
      <c r="G216" s="39">
        <f>IFERROR(INDEX(销售员主数据!$C$2:$C$101,MATCH($E216,销售员主数据!$A$2:$A$101,0)),"")</f>
        <v/>
      </c>
      <c r="H216" s="39">
        <f>IFERROR(INDEX(销售员主数据!$D$2:$D$101,MATCH($E216,销售员主数据!$A$2:$A$101,0)),"")</f>
        <v/>
      </c>
      <c r="I216" s="50" t="n"/>
      <c r="J216" s="50" t="n"/>
      <c r="K216" s="54" t="n"/>
      <c r="L216" s="55" t="n"/>
      <c r="M216" s="56" t="n"/>
      <c r="N216" s="57">
        <f>IF(COUNTBLANK(A216:L216)=12,"",1)</f>
        <v/>
      </c>
      <c r="O216" s="40" t="n"/>
    </row>
    <row r="217" ht="15" customHeight="1" s="34">
      <c r="A217" s="48" t="n"/>
      <c r="B217" s="41">
        <f>IF(A217="","",TEXT(A217,"mmm"))</f>
        <v/>
      </c>
      <c r="C217" s="41" t="n"/>
      <c r="D217" s="42" t="n"/>
      <c r="E217" s="41" t="n"/>
      <c r="F217" s="41">
        <f>IFERROR(INDEX(销售员主数据!$B$2:$B$101,MATCH($E217,销售员主数据!$A$2:$A$101,0)),"")</f>
        <v/>
      </c>
      <c r="G217" s="41">
        <f>IFERROR(INDEX(销售员主数据!$C$2:$C$101,MATCH($E217,销售员主数据!$A$2:$A$101,0)),"")</f>
        <v/>
      </c>
      <c r="H217" s="41">
        <f>IFERROR(INDEX(销售员主数据!$D$2:$D$101,MATCH($E217,销售员主数据!$A$2:$A$101,0)),"")</f>
        <v/>
      </c>
      <c r="I217" s="43" t="n"/>
      <c r="J217" s="43" t="n"/>
      <c r="K217" s="44" t="n"/>
      <c r="L217" s="58" t="n"/>
      <c r="M217" s="59" t="n"/>
      <c r="N217" s="60">
        <f>IF(COUNTBLANK(A217:L217)=12,"",1)</f>
        <v/>
      </c>
      <c r="O217" s="42" t="n"/>
    </row>
    <row r="218" ht="15" customHeight="1" s="34">
      <c r="A218" s="46" t="n"/>
      <c r="B218" s="39">
        <f>IF(A218="","",TEXT(A218,"mmm"))</f>
        <v/>
      </c>
      <c r="C218" s="39" t="n"/>
      <c r="D218" s="40" t="n"/>
      <c r="E218" s="39" t="n"/>
      <c r="F218" s="39">
        <f>IFERROR(INDEX(销售员主数据!$B$2:$B$101,MATCH($E218,销售员主数据!$A$2:$A$101,0)),"")</f>
        <v/>
      </c>
      <c r="G218" s="39">
        <f>IFERROR(INDEX(销售员主数据!$C$2:$C$101,MATCH($E218,销售员主数据!$A$2:$A$101,0)),"")</f>
        <v/>
      </c>
      <c r="H218" s="39">
        <f>IFERROR(INDEX(销售员主数据!$D$2:$D$101,MATCH($E218,销售员主数据!$A$2:$A$101,0)),"")</f>
        <v/>
      </c>
      <c r="I218" s="50" t="n"/>
      <c r="J218" s="50" t="n"/>
      <c r="K218" s="54" t="n"/>
      <c r="L218" s="55" t="n"/>
      <c r="M218" s="56" t="n"/>
      <c r="N218" s="57">
        <f>IF(COUNTBLANK(A218:L218)=12,"",1)</f>
        <v/>
      </c>
      <c r="O218" s="40" t="n"/>
    </row>
    <row r="219" ht="15" customHeight="1" s="34">
      <c r="A219" s="48" t="n"/>
      <c r="B219" s="41">
        <f>IF(A219="","",TEXT(A219,"mmm"))</f>
        <v/>
      </c>
      <c r="C219" s="41" t="n"/>
      <c r="D219" s="42" t="n"/>
      <c r="E219" s="41" t="n"/>
      <c r="F219" s="41">
        <f>IFERROR(INDEX(销售员主数据!$B$2:$B$101,MATCH($E219,销售员主数据!$A$2:$A$101,0)),"")</f>
        <v/>
      </c>
      <c r="G219" s="41">
        <f>IFERROR(INDEX(销售员主数据!$C$2:$C$101,MATCH($E219,销售员主数据!$A$2:$A$101,0)),"")</f>
        <v/>
      </c>
      <c r="H219" s="41">
        <f>IFERROR(INDEX(销售员主数据!$D$2:$D$101,MATCH($E219,销售员主数据!$A$2:$A$101,0)),"")</f>
        <v/>
      </c>
      <c r="I219" s="43" t="n"/>
      <c r="J219" s="43" t="n"/>
      <c r="K219" s="44" t="n"/>
      <c r="L219" s="58" t="n"/>
      <c r="M219" s="59" t="n"/>
      <c r="N219" s="60">
        <f>IF(COUNTBLANK(A219:L219)=12,"",1)</f>
        <v/>
      </c>
      <c r="O219" s="42" t="n"/>
    </row>
    <row r="220" ht="15" customHeight="1" s="34">
      <c r="A220" s="46" t="n"/>
      <c r="B220" s="39">
        <f>IF(A220="","",TEXT(A220,"mmm"))</f>
        <v/>
      </c>
      <c r="C220" s="39" t="n"/>
      <c r="D220" s="40" t="n"/>
      <c r="E220" s="39" t="n"/>
      <c r="F220" s="39">
        <f>IFERROR(INDEX(销售员主数据!$B$2:$B$101,MATCH($E220,销售员主数据!$A$2:$A$101,0)),"")</f>
        <v/>
      </c>
      <c r="G220" s="39">
        <f>IFERROR(INDEX(销售员主数据!$C$2:$C$101,MATCH($E220,销售员主数据!$A$2:$A$101,0)),"")</f>
        <v/>
      </c>
      <c r="H220" s="39">
        <f>IFERROR(INDEX(销售员主数据!$D$2:$D$101,MATCH($E220,销售员主数据!$A$2:$A$101,0)),"")</f>
        <v/>
      </c>
      <c r="I220" s="50" t="n"/>
      <c r="J220" s="50" t="n"/>
      <c r="K220" s="54" t="n"/>
      <c r="L220" s="55" t="n"/>
      <c r="M220" s="56" t="n"/>
      <c r="N220" s="57">
        <f>IF(COUNTBLANK(A220:L220)=12,"",1)</f>
        <v/>
      </c>
      <c r="O220" s="40" t="n"/>
    </row>
    <row r="221" ht="15" customHeight="1" s="34">
      <c r="A221" s="48" t="n"/>
      <c r="B221" s="41">
        <f>IF(A221="","",TEXT(A221,"mmm"))</f>
        <v/>
      </c>
      <c r="C221" s="41" t="n"/>
      <c r="D221" s="42" t="n"/>
      <c r="E221" s="41" t="n"/>
      <c r="F221" s="41">
        <f>IFERROR(INDEX(销售员主数据!$B$2:$B$101,MATCH($E221,销售员主数据!$A$2:$A$101,0)),"")</f>
        <v/>
      </c>
      <c r="G221" s="41">
        <f>IFERROR(INDEX(销售员主数据!$C$2:$C$101,MATCH($E221,销售员主数据!$A$2:$A$101,0)),"")</f>
        <v/>
      </c>
      <c r="H221" s="41">
        <f>IFERROR(INDEX(销售员主数据!$D$2:$D$101,MATCH($E221,销售员主数据!$A$2:$A$101,0)),"")</f>
        <v/>
      </c>
      <c r="I221" s="43" t="n"/>
      <c r="J221" s="43" t="n"/>
      <c r="K221" s="44" t="n"/>
      <c r="L221" s="58" t="n"/>
      <c r="M221" s="59" t="n"/>
      <c r="N221" s="60">
        <f>IF(COUNTBLANK(A221:L221)=12,"",1)</f>
        <v/>
      </c>
      <c r="O221" s="42" t="n"/>
    </row>
    <row r="222" ht="15" customHeight="1" s="34">
      <c r="A222" s="46" t="n"/>
      <c r="B222" s="39">
        <f>IF(A222="","",TEXT(A222,"mmm"))</f>
        <v/>
      </c>
      <c r="C222" s="39" t="n"/>
      <c r="D222" s="40" t="n"/>
      <c r="E222" s="39" t="n"/>
      <c r="F222" s="39">
        <f>IFERROR(INDEX(销售员主数据!$B$2:$B$101,MATCH($E222,销售员主数据!$A$2:$A$101,0)),"")</f>
        <v/>
      </c>
      <c r="G222" s="39">
        <f>IFERROR(INDEX(销售员主数据!$C$2:$C$101,MATCH($E222,销售员主数据!$A$2:$A$101,0)),"")</f>
        <v/>
      </c>
      <c r="H222" s="39">
        <f>IFERROR(INDEX(销售员主数据!$D$2:$D$101,MATCH($E222,销售员主数据!$A$2:$A$101,0)),"")</f>
        <v/>
      </c>
      <c r="I222" s="50" t="n"/>
      <c r="J222" s="50" t="n"/>
      <c r="K222" s="54" t="n"/>
      <c r="L222" s="55" t="n"/>
      <c r="M222" s="56" t="n"/>
      <c r="N222" s="57">
        <f>IF(COUNTBLANK(A222:L222)=12,"",1)</f>
        <v/>
      </c>
      <c r="O222" s="40" t="n"/>
    </row>
    <row r="223" ht="15" customHeight="1" s="34">
      <c r="A223" s="48" t="n"/>
      <c r="B223" s="41">
        <f>IF(A223="","",TEXT(A223,"mmm"))</f>
        <v/>
      </c>
      <c r="C223" s="41" t="n"/>
      <c r="D223" s="42" t="n"/>
      <c r="E223" s="41" t="n"/>
      <c r="F223" s="41">
        <f>IFERROR(INDEX(销售员主数据!$B$2:$B$101,MATCH($E223,销售员主数据!$A$2:$A$101,0)),"")</f>
        <v/>
      </c>
      <c r="G223" s="41">
        <f>IFERROR(INDEX(销售员主数据!$C$2:$C$101,MATCH($E223,销售员主数据!$A$2:$A$101,0)),"")</f>
        <v/>
      </c>
      <c r="H223" s="41">
        <f>IFERROR(INDEX(销售员主数据!$D$2:$D$101,MATCH($E223,销售员主数据!$A$2:$A$101,0)),"")</f>
        <v/>
      </c>
      <c r="I223" s="43" t="n"/>
      <c r="J223" s="43" t="n"/>
      <c r="K223" s="44" t="n"/>
      <c r="L223" s="58" t="n"/>
      <c r="M223" s="59" t="n"/>
      <c r="N223" s="60">
        <f>IF(COUNTBLANK(A223:L223)=12,"",1)</f>
        <v/>
      </c>
      <c r="O223" s="42" t="n"/>
    </row>
    <row r="224" ht="15" customHeight="1" s="34">
      <c r="A224" s="46" t="n"/>
      <c r="B224" s="39">
        <f>IF(A224="","",TEXT(A224,"mmm"))</f>
        <v/>
      </c>
      <c r="C224" s="39" t="n"/>
      <c r="D224" s="40" t="n"/>
      <c r="E224" s="39" t="n"/>
      <c r="F224" s="39">
        <f>IFERROR(INDEX(销售员主数据!$B$2:$B$101,MATCH($E224,销售员主数据!$A$2:$A$101,0)),"")</f>
        <v/>
      </c>
      <c r="G224" s="39">
        <f>IFERROR(INDEX(销售员主数据!$C$2:$C$101,MATCH($E224,销售员主数据!$A$2:$A$101,0)),"")</f>
        <v/>
      </c>
      <c r="H224" s="39">
        <f>IFERROR(INDEX(销售员主数据!$D$2:$D$101,MATCH($E224,销售员主数据!$A$2:$A$101,0)),"")</f>
        <v/>
      </c>
      <c r="I224" s="50" t="n"/>
      <c r="J224" s="50" t="n"/>
      <c r="K224" s="54" t="n"/>
      <c r="L224" s="55" t="n"/>
      <c r="M224" s="56" t="n"/>
      <c r="N224" s="57">
        <f>IF(COUNTBLANK(A224:L224)=12,"",1)</f>
        <v/>
      </c>
      <c r="O224" s="40" t="n"/>
    </row>
    <row r="225" ht="15" customHeight="1" s="34">
      <c r="A225" s="48" t="n"/>
      <c r="B225" s="41">
        <f>IF(A225="","",TEXT(A225,"mmm"))</f>
        <v/>
      </c>
      <c r="C225" s="41" t="n"/>
      <c r="D225" s="42" t="n"/>
      <c r="E225" s="41" t="n"/>
      <c r="F225" s="41">
        <f>IFERROR(INDEX(销售员主数据!$B$2:$B$101,MATCH($E225,销售员主数据!$A$2:$A$101,0)),"")</f>
        <v/>
      </c>
      <c r="G225" s="41">
        <f>IFERROR(INDEX(销售员主数据!$C$2:$C$101,MATCH($E225,销售员主数据!$A$2:$A$101,0)),"")</f>
        <v/>
      </c>
      <c r="H225" s="41">
        <f>IFERROR(INDEX(销售员主数据!$D$2:$D$101,MATCH($E225,销售员主数据!$A$2:$A$101,0)),"")</f>
        <v/>
      </c>
      <c r="I225" s="43" t="n"/>
      <c r="J225" s="43" t="n"/>
      <c r="K225" s="44" t="n"/>
      <c r="L225" s="58" t="n"/>
      <c r="M225" s="59" t="n"/>
      <c r="N225" s="60">
        <f>IF(COUNTBLANK(A225:L225)=12,"",1)</f>
        <v/>
      </c>
      <c r="O225" s="42" t="n"/>
    </row>
    <row r="226" ht="15" customHeight="1" s="34">
      <c r="A226" s="46" t="n"/>
      <c r="B226" s="39">
        <f>IF(A226="","",TEXT(A226,"mmm"))</f>
        <v/>
      </c>
      <c r="C226" s="39" t="n"/>
      <c r="D226" s="40" t="n"/>
      <c r="E226" s="39" t="n"/>
      <c r="F226" s="39">
        <f>IFERROR(INDEX(销售员主数据!$B$2:$B$101,MATCH($E226,销售员主数据!$A$2:$A$101,0)),"")</f>
        <v/>
      </c>
      <c r="G226" s="39">
        <f>IFERROR(INDEX(销售员主数据!$C$2:$C$101,MATCH($E226,销售员主数据!$A$2:$A$101,0)),"")</f>
        <v/>
      </c>
      <c r="H226" s="39">
        <f>IFERROR(INDEX(销售员主数据!$D$2:$D$101,MATCH($E226,销售员主数据!$A$2:$A$101,0)),"")</f>
        <v/>
      </c>
      <c r="I226" s="50" t="n"/>
      <c r="J226" s="50" t="n"/>
      <c r="K226" s="54" t="n"/>
      <c r="L226" s="55" t="n"/>
      <c r="M226" s="56" t="n"/>
      <c r="N226" s="57">
        <f>IF(COUNTBLANK(A226:L226)=12,"",1)</f>
        <v/>
      </c>
      <c r="O226" s="40" t="n"/>
    </row>
    <row r="227" ht="15" customHeight="1" s="34">
      <c r="A227" s="48" t="n"/>
      <c r="B227" s="41">
        <f>IF(A227="","",TEXT(A227,"mmm"))</f>
        <v/>
      </c>
      <c r="C227" s="41" t="n"/>
      <c r="D227" s="42" t="n"/>
      <c r="E227" s="41" t="n"/>
      <c r="F227" s="41">
        <f>IFERROR(INDEX(销售员主数据!$B$2:$B$101,MATCH($E227,销售员主数据!$A$2:$A$101,0)),"")</f>
        <v/>
      </c>
      <c r="G227" s="41">
        <f>IFERROR(INDEX(销售员主数据!$C$2:$C$101,MATCH($E227,销售员主数据!$A$2:$A$101,0)),"")</f>
        <v/>
      </c>
      <c r="H227" s="41">
        <f>IFERROR(INDEX(销售员主数据!$D$2:$D$101,MATCH($E227,销售员主数据!$A$2:$A$101,0)),"")</f>
        <v/>
      </c>
      <c r="I227" s="43" t="n"/>
      <c r="J227" s="43" t="n"/>
      <c r="K227" s="44" t="n"/>
      <c r="L227" s="58" t="n"/>
      <c r="M227" s="59" t="n"/>
      <c r="N227" s="60">
        <f>IF(COUNTBLANK(A227:L227)=12,"",1)</f>
        <v/>
      </c>
      <c r="O227" s="42" t="n"/>
    </row>
    <row r="228" ht="15" customHeight="1" s="34">
      <c r="A228" s="46" t="n"/>
      <c r="B228" s="39">
        <f>IF(A228="","",TEXT(A228,"mmm"))</f>
        <v/>
      </c>
      <c r="C228" s="39" t="n"/>
      <c r="D228" s="40" t="n"/>
      <c r="E228" s="39" t="n"/>
      <c r="F228" s="39">
        <f>IFERROR(INDEX(销售员主数据!$B$2:$B$101,MATCH($E228,销售员主数据!$A$2:$A$101,0)),"")</f>
        <v/>
      </c>
      <c r="G228" s="39">
        <f>IFERROR(INDEX(销售员主数据!$C$2:$C$101,MATCH($E228,销售员主数据!$A$2:$A$101,0)),"")</f>
        <v/>
      </c>
      <c r="H228" s="39">
        <f>IFERROR(INDEX(销售员主数据!$D$2:$D$101,MATCH($E228,销售员主数据!$A$2:$A$101,0)),"")</f>
        <v/>
      </c>
      <c r="I228" s="50" t="n"/>
      <c r="J228" s="50" t="n"/>
      <c r="K228" s="54" t="n"/>
      <c r="L228" s="55" t="n"/>
      <c r="M228" s="56" t="n"/>
      <c r="N228" s="57">
        <f>IF(COUNTBLANK(A228:L228)=12,"",1)</f>
        <v/>
      </c>
      <c r="O228" s="40" t="n"/>
    </row>
    <row r="229" ht="15" customHeight="1" s="34">
      <c r="A229" s="48" t="n"/>
      <c r="B229" s="41">
        <f>IF(A229="","",TEXT(A229,"mmm"))</f>
        <v/>
      </c>
      <c r="C229" s="41" t="n"/>
      <c r="D229" s="42" t="n"/>
      <c r="E229" s="41" t="n"/>
      <c r="F229" s="41">
        <f>IFERROR(INDEX(销售员主数据!$B$2:$B$101,MATCH($E229,销售员主数据!$A$2:$A$101,0)),"")</f>
        <v/>
      </c>
      <c r="G229" s="41">
        <f>IFERROR(INDEX(销售员主数据!$C$2:$C$101,MATCH($E229,销售员主数据!$A$2:$A$101,0)),"")</f>
        <v/>
      </c>
      <c r="H229" s="41">
        <f>IFERROR(INDEX(销售员主数据!$D$2:$D$101,MATCH($E229,销售员主数据!$A$2:$A$101,0)),"")</f>
        <v/>
      </c>
      <c r="I229" s="43" t="n"/>
      <c r="J229" s="43" t="n"/>
      <c r="K229" s="44" t="n"/>
      <c r="L229" s="58" t="n"/>
      <c r="M229" s="59" t="n"/>
      <c r="N229" s="60">
        <f>IF(COUNTBLANK(A229:L229)=12,"",1)</f>
        <v/>
      </c>
      <c r="O229" s="42" t="n"/>
    </row>
    <row r="230" ht="15" customHeight="1" s="34">
      <c r="A230" s="46" t="n"/>
      <c r="B230" s="39">
        <f>IF(A230="","",TEXT(A230,"mmm"))</f>
        <v/>
      </c>
      <c r="C230" s="39" t="n"/>
      <c r="D230" s="40" t="n"/>
      <c r="E230" s="39" t="n"/>
      <c r="F230" s="39">
        <f>IFERROR(INDEX(销售员主数据!$B$2:$B$101,MATCH($E230,销售员主数据!$A$2:$A$101,0)),"")</f>
        <v/>
      </c>
      <c r="G230" s="39">
        <f>IFERROR(INDEX(销售员主数据!$C$2:$C$101,MATCH($E230,销售员主数据!$A$2:$A$101,0)),"")</f>
        <v/>
      </c>
      <c r="H230" s="39">
        <f>IFERROR(INDEX(销售员主数据!$D$2:$D$101,MATCH($E230,销售员主数据!$A$2:$A$101,0)),"")</f>
        <v/>
      </c>
      <c r="I230" s="50" t="n"/>
      <c r="J230" s="50" t="n"/>
      <c r="K230" s="54" t="n"/>
      <c r="L230" s="55" t="n"/>
      <c r="M230" s="56" t="n"/>
      <c r="N230" s="57">
        <f>IF(COUNTBLANK(A230:L230)=12,"",1)</f>
        <v/>
      </c>
      <c r="O230" s="40" t="n"/>
    </row>
    <row r="231" ht="15" customHeight="1" s="34">
      <c r="A231" s="48" t="n"/>
      <c r="B231" s="41">
        <f>IF(A231="","",TEXT(A231,"mmm"))</f>
        <v/>
      </c>
      <c r="C231" s="41" t="n"/>
      <c r="D231" s="42" t="n"/>
      <c r="E231" s="41" t="n"/>
      <c r="F231" s="41">
        <f>IFERROR(INDEX(销售员主数据!$B$2:$B$101,MATCH($E231,销售员主数据!$A$2:$A$101,0)),"")</f>
        <v/>
      </c>
      <c r="G231" s="41">
        <f>IFERROR(INDEX(销售员主数据!$C$2:$C$101,MATCH($E231,销售员主数据!$A$2:$A$101,0)),"")</f>
        <v/>
      </c>
      <c r="H231" s="41">
        <f>IFERROR(INDEX(销售员主数据!$D$2:$D$101,MATCH($E231,销售员主数据!$A$2:$A$101,0)),"")</f>
        <v/>
      </c>
      <c r="I231" s="43" t="n"/>
      <c r="J231" s="43" t="n"/>
      <c r="K231" s="44" t="n"/>
      <c r="L231" s="58" t="n"/>
      <c r="M231" s="59" t="n"/>
      <c r="N231" s="60">
        <f>IF(COUNTBLANK(A231:L231)=12,"",1)</f>
        <v/>
      </c>
      <c r="O231" s="42" t="n"/>
    </row>
    <row r="232" ht="15" customHeight="1" s="34">
      <c r="A232" s="46" t="n"/>
      <c r="B232" s="39">
        <f>IF(A232="","",TEXT(A232,"mmm"))</f>
        <v/>
      </c>
      <c r="C232" s="39" t="n"/>
      <c r="D232" s="40" t="n"/>
      <c r="E232" s="39" t="n"/>
      <c r="F232" s="39">
        <f>IFERROR(INDEX(销售员主数据!$B$2:$B$101,MATCH($E232,销售员主数据!$A$2:$A$101,0)),"")</f>
        <v/>
      </c>
      <c r="G232" s="39">
        <f>IFERROR(INDEX(销售员主数据!$C$2:$C$101,MATCH($E232,销售员主数据!$A$2:$A$101,0)),"")</f>
        <v/>
      </c>
      <c r="H232" s="39">
        <f>IFERROR(INDEX(销售员主数据!$D$2:$D$101,MATCH($E232,销售员主数据!$A$2:$A$101,0)),"")</f>
        <v/>
      </c>
      <c r="I232" s="50" t="n"/>
      <c r="J232" s="50" t="n"/>
      <c r="K232" s="54" t="n"/>
      <c r="L232" s="55" t="n"/>
      <c r="M232" s="56" t="n"/>
      <c r="N232" s="57">
        <f>IF(COUNTBLANK(A232:L232)=12,"",1)</f>
        <v/>
      </c>
      <c r="O232" s="40" t="n"/>
    </row>
    <row r="233" ht="15" customHeight="1" s="34">
      <c r="A233" s="48" t="n"/>
      <c r="B233" s="41">
        <f>IF(A233="","",TEXT(A233,"mmm"))</f>
        <v/>
      </c>
      <c r="C233" s="41" t="n"/>
      <c r="D233" s="42" t="n"/>
      <c r="E233" s="41" t="n"/>
      <c r="F233" s="41">
        <f>IFERROR(INDEX(销售员主数据!$B$2:$B$101,MATCH($E233,销售员主数据!$A$2:$A$101,0)),"")</f>
        <v/>
      </c>
      <c r="G233" s="41">
        <f>IFERROR(INDEX(销售员主数据!$C$2:$C$101,MATCH($E233,销售员主数据!$A$2:$A$101,0)),"")</f>
        <v/>
      </c>
      <c r="H233" s="41">
        <f>IFERROR(INDEX(销售员主数据!$D$2:$D$101,MATCH($E233,销售员主数据!$A$2:$A$101,0)),"")</f>
        <v/>
      </c>
      <c r="I233" s="43" t="n"/>
      <c r="J233" s="43" t="n"/>
      <c r="K233" s="44" t="n"/>
      <c r="L233" s="58" t="n"/>
      <c r="M233" s="59" t="n"/>
      <c r="N233" s="60">
        <f>IF(COUNTBLANK(A233:L233)=12,"",1)</f>
        <v/>
      </c>
      <c r="O233" s="42" t="n"/>
    </row>
    <row r="234" ht="15" customHeight="1" s="34">
      <c r="A234" s="46" t="n"/>
      <c r="B234" s="39">
        <f>IF(A234="","",TEXT(A234,"mmm"))</f>
        <v/>
      </c>
      <c r="C234" s="39" t="n"/>
      <c r="D234" s="40" t="n"/>
      <c r="E234" s="39" t="n"/>
      <c r="F234" s="39">
        <f>IFERROR(INDEX(销售员主数据!$B$2:$B$101,MATCH($E234,销售员主数据!$A$2:$A$101,0)),"")</f>
        <v/>
      </c>
      <c r="G234" s="39">
        <f>IFERROR(INDEX(销售员主数据!$C$2:$C$101,MATCH($E234,销售员主数据!$A$2:$A$101,0)),"")</f>
        <v/>
      </c>
      <c r="H234" s="39">
        <f>IFERROR(INDEX(销售员主数据!$D$2:$D$101,MATCH($E234,销售员主数据!$A$2:$A$101,0)),"")</f>
        <v/>
      </c>
      <c r="I234" s="50" t="n"/>
      <c r="J234" s="50" t="n"/>
      <c r="K234" s="54" t="n"/>
      <c r="L234" s="55" t="n"/>
      <c r="M234" s="56" t="n"/>
      <c r="N234" s="57">
        <f>IF(COUNTBLANK(A234:L234)=12,"",1)</f>
        <v/>
      </c>
      <c r="O234" s="40" t="n"/>
    </row>
    <row r="235" ht="15" customHeight="1" s="34">
      <c r="A235" s="48" t="n"/>
      <c r="B235" s="41">
        <f>IF(A235="","",TEXT(A235,"mmm"))</f>
        <v/>
      </c>
      <c r="C235" s="41" t="n"/>
      <c r="D235" s="42" t="n"/>
      <c r="E235" s="41" t="n"/>
      <c r="F235" s="41">
        <f>IFERROR(INDEX(销售员主数据!$B$2:$B$101,MATCH($E235,销售员主数据!$A$2:$A$101,0)),"")</f>
        <v/>
      </c>
      <c r="G235" s="41">
        <f>IFERROR(INDEX(销售员主数据!$C$2:$C$101,MATCH($E235,销售员主数据!$A$2:$A$101,0)),"")</f>
        <v/>
      </c>
      <c r="H235" s="41">
        <f>IFERROR(INDEX(销售员主数据!$D$2:$D$101,MATCH($E235,销售员主数据!$A$2:$A$101,0)),"")</f>
        <v/>
      </c>
      <c r="I235" s="43" t="n"/>
      <c r="J235" s="43" t="n"/>
      <c r="K235" s="44" t="n"/>
      <c r="L235" s="58" t="n"/>
      <c r="M235" s="59" t="n"/>
      <c r="N235" s="60">
        <f>IF(COUNTBLANK(A235:L235)=12,"",1)</f>
        <v/>
      </c>
      <c r="O235" s="42" t="n"/>
    </row>
    <row r="236" ht="15" customHeight="1" s="34">
      <c r="A236" s="46" t="n"/>
      <c r="B236" s="39">
        <f>IF(A236="","",TEXT(A236,"mmm"))</f>
        <v/>
      </c>
      <c r="C236" s="39" t="n"/>
      <c r="D236" s="40" t="n"/>
      <c r="E236" s="39" t="n"/>
      <c r="F236" s="39">
        <f>IFERROR(INDEX(销售员主数据!$B$2:$B$101,MATCH($E236,销售员主数据!$A$2:$A$101,0)),"")</f>
        <v/>
      </c>
      <c r="G236" s="39">
        <f>IFERROR(INDEX(销售员主数据!$C$2:$C$101,MATCH($E236,销售员主数据!$A$2:$A$101,0)),"")</f>
        <v/>
      </c>
      <c r="H236" s="39">
        <f>IFERROR(INDEX(销售员主数据!$D$2:$D$101,MATCH($E236,销售员主数据!$A$2:$A$101,0)),"")</f>
        <v/>
      </c>
      <c r="I236" s="50" t="n"/>
      <c r="J236" s="50" t="n"/>
      <c r="K236" s="54" t="n"/>
      <c r="L236" s="55" t="n"/>
      <c r="M236" s="56" t="n"/>
      <c r="N236" s="57">
        <f>IF(COUNTBLANK(A236:L236)=12,"",1)</f>
        <v/>
      </c>
      <c r="O236" s="40" t="n"/>
    </row>
    <row r="237" ht="15" customHeight="1" s="34">
      <c r="A237" s="48" t="n"/>
      <c r="B237" s="41">
        <f>IF(A237="","",TEXT(A237,"mmm"))</f>
        <v/>
      </c>
      <c r="C237" s="41" t="n"/>
      <c r="D237" s="42" t="n"/>
      <c r="E237" s="41" t="n"/>
      <c r="F237" s="41">
        <f>IFERROR(INDEX(销售员主数据!$B$2:$B$101,MATCH($E237,销售员主数据!$A$2:$A$101,0)),"")</f>
        <v/>
      </c>
      <c r="G237" s="41">
        <f>IFERROR(INDEX(销售员主数据!$C$2:$C$101,MATCH($E237,销售员主数据!$A$2:$A$101,0)),"")</f>
        <v/>
      </c>
      <c r="H237" s="41">
        <f>IFERROR(INDEX(销售员主数据!$D$2:$D$101,MATCH($E237,销售员主数据!$A$2:$A$101,0)),"")</f>
        <v/>
      </c>
      <c r="I237" s="43" t="n"/>
      <c r="J237" s="43" t="n"/>
      <c r="K237" s="44" t="n"/>
      <c r="L237" s="58" t="n"/>
      <c r="M237" s="59" t="n"/>
      <c r="N237" s="60">
        <f>IF(COUNTBLANK(A237:L237)=12,"",1)</f>
        <v/>
      </c>
      <c r="O237" s="42" t="n"/>
    </row>
    <row r="238" ht="15" customHeight="1" s="34">
      <c r="A238" s="46" t="n"/>
      <c r="B238" s="39">
        <f>IF(A238="","",TEXT(A238,"mmm"))</f>
        <v/>
      </c>
      <c r="C238" s="39" t="n"/>
      <c r="D238" s="40" t="n"/>
      <c r="E238" s="39" t="n"/>
      <c r="F238" s="39">
        <f>IFERROR(INDEX(销售员主数据!$B$2:$B$101,MATCH($E238,销售员主数据!$A$2:$A$101,0)),"")</f>
        <v/>
      </c>
      <c r="G238" s="39">
        <f>IFERROR(INDEX(销售员主数据!$C$2:$C$101,MATCH($E238,销售员主数据!$A$2:$A$101,0)),"")</f>
        <v/>
      </c>
      <c r="H238" s="39">
        <f>IFERROR(INDEX(销售员主数据!$D$2:$D$101,MATCH($E238,销售员主数据!$A$2:$A$101,0)),"")</f>
        <v/>
      </c>
      <c r="I238" s="50" t="n"/>
      <c r="J238" s="50" t="n"/>
      <c r="K238" s="54" t="n"/>
      <c r="L238" s="55" t="n"/>
      <c r="M238" s="56" t="n"/>
      <c r="N238" s="57">
        <f>IF(COUNTBLANK(A238:L238)=12,"",1)</f>
        <v/>
      </c>
      <c r="O238" s="40" t="n"/>
    </row>
    <row r="239" ht="15" customHeight="1" s="34">
      <c r="A239" s="48" t="n"/>
      <c r="B239" s="41">
        <f>IF(A239="","",TEXT(A239,"mmm"))</f>
        <v/>
      </c>
      <c r="C239" s="41" t="n"/>
      <c r="D239" s="42" t="n"/>
      <c r="E239" s="41" t="n"/>
      <c r="F239" s="41">
        <f>IFERROR(INDEX(销售员主数据!$B$2:$B$101,MATCH($E239,销售员主数据!$A$2:$A$101,0)),"")</f>
        <v/>
      </c>
      <c r="G239" s="41">
        <f>IFERROR(INDEX(销售员主数据!$C$2:$C$101,MATCH($E239,销售员主数据!$A$2:$A$101,0)),"")</f>
        <v/>
      </c>
      <c r="H239" s="41">
        <f>IFERROR(INDEX(销售员主数据!$D$2:$D$101,MATCH($E239,销售员主数据!$A$2:$A$101,0)),"")</f>
        <v/>
      </c>
      <c r="I239" s="43" t="n"/>
      <c r="J239" s="43" t="n"/>
      <c r="K239" s="44" t="n"/>
      <c r="L239" s="58" t="n"/>
      <c r="M239" s="59" t="n"/>
      <c r="N239" s="60">
        <f>IF(COUNTBLANK(A239:L239)=12,"",1)</f>
        <v/>
      </c>
      <c r="O239" s="42" t="n"/>
    </row>
    <row r="240" ht="15" customHeight="1" s="34">
      <c r="A240" s="46" t="n"/>
      <c r="B240" s="39">
        <f>IF(A240="","",TEXT(A240,"mmm"))</f>
        <v/>
      </c>
      <c r="C240" s="39" t="n"/>
      <c r="D240" s="40" t="n"/>
      <c r="E240" s="39" t="n"/>
      <c r="F240" s="39">
        <f>IFERROR(INDEX(销售员主数据!$B$2:$B$101,MATCH($E240,销售员主数据!$A$2:$A$101,0)),"")</f>
        <v/>
      </c>
      <c r="G240" s="39">
        <f>IFERROR(INDEX(销售员主数据!$C$2:$C$101,MATCH($E240,销售员主数据!$A$2:$A$101,0)),"")</f>
        <v/>
      </c>
      <c r="H240" s="39">
        <f>IFERROR(INDEX(销售员主数据!$D$2:$D$101,MATCH($E240,销售员主数据!$A$2:$A$101,0)),"")</f>
        <v/>
      </c>
      <c r="I240" s="50" t="n"/>
      <c r="J240" s="50" t="n"/>
      <c r="K240" s="54" t="n"/>
      <c r="L240" s="55" t="n"/>
      <c r="M240" s="56" t="n"/>
      <c r="N240" s="57">
        <f>IF(COUNTBLANK(A240:L240)=12,"",1)</f>
        <v/>
      </c>
      <c r="O240" s="40" t="n"/>
    </row>
    <row r="241" ht="15" customHeight="1" s="34">
      <c r="A241" s="48" t="n"/>
      <c r="B241" s="41">
        <f>IF(A241="","",TEXT(A241,"mmm"))</f>
        <v/>
      </c>
      <c r="C241" s="41" t="n"/>
      <c r="D241" s="42" t="n"/>
      <c r="E241" s="41" t="n"/>
      <c r="F241" s="41">
        <f>IFERROR(INDEX(销售员主数据!$B$2:$B$101,MATCH($E241,销售员主数据!$A$2:$A$101,0)),"")</f>
        <v/>
      </c>
      <c r="G241" s="41">
        <f>IFERROR(INDEX(销售员主数据!$C$2:$C$101,MATCH($E241,销售员主数据!$A$2:$A$101,0)),"")</f>
        <v/>
      </c>
      <c r="H241" s="41">
        <f>IFERROR(INDEX(销售员主数据!$D$2:$D$101,MATCH($E241,销售员主数据!$A$2:$A$101,0)),"")</f>
        <v/>
      </c>
      <c r="I241" s="43" t="n"/>
      <c r="J241" s="43" t="n"/>
      <c r="K241" s="44" t="n"/>
      <c r="L241" s="58" t="n"/>
      <c r="M241" s="59" t="n"/>
      <c r="N241" s="60">
        <f>IF(COUNTBLANK(A241:L241)=12,"",1)</f>
        <v/>
      </c>
      <c r="O241" s="42" t="n"/>
    </row>
    <row r="242" ht="15" customHeight="1" s="34">
      <c r="A242" s="46" t="n"/>
      <c r="B242" s="39">
        <f>IF(A242="","",TEXT(A242,"mmm"))</f>
        <v/>
      </c>
      <c r="C242" s="39" t="n"/>
      <c r="D242" s="40" t="n"/>
      <c r="E242" s="39" t="n"/>
      <c r="F242" s="39">
        <f>IFERROR(INDEX(销售员主数据!$B$2:$B$101,MATCH($E242,销售员主数据!$A$2:$A$101,0)),"")</f>
        <v/>
      </c>
      <c r="G242" s="39">
        <f>IFERROR(INDEX(销售员主数据!$C$2:$C$101,MATCH($E242,销售员主数据!$A$2:$A$101,0)),"")</f>
        <v/>
      </c>
      <c r="H242" s="39">
        <f>IFERROR(INDEX(销售员主数据!$D$2:$D$101,MATCH($E242,销售员主数据!$A$2:$A$101,0)),"")</f>
        <v/>
      </c>
      <c r="I242" s="50" t="n"/>
      <c r="J242" s="50" t="n"/>
      <c r="K242" s="54" t="n"/>
      <c r="L242" s="55" t="n"/>
      <c r="M242" s="56" t="n"/>
      <c r="N242" s="57">
        <f>IF(COUNTBLANK(A242:L242)=12,"",1)</f>
        <v/>
      </c>
      <c r="O242" s="40" t="n"/>
    </row>
    <row r="243" ht="15" customHeight="1" s="34">
      <c r="A243" s="48" t="n"/>
      <c r="B243" s="41">
        <f>IF(A243="","",TEXT(A243,"mmm"))</f>
        <v/>
      </c>
      <c r="C243" s="41" t="n"/>
      <c r="D243" s="42" t="n"/>
      <c r="E243" s="41" t="n"/>
      <c r="F243" s="41">
        <f>IFERROR(INDEX(销售员主数据!$B$2:$B$101,MATCH($E243,销售员主数据!$A$2:$A$101,0)),"")</f>
        <v/>
      </c>
      <c r="G243" s="41">
        <f>IFERROR(INDEX(销售员主数据!$C$2:$C$101,MATCH($E243,销售员主数据!$A$2:$A$101,0)),"")</f>
        <v/>
      </c>
      <c r="H243" s="41">
        <f>IFERROR(INDEX(销售员主数据!$D$2:$D$101,MATCH($E243,销售员主数据!$A$2:$A$101,0)),"")</f>
        <v/>
      </c>
      <c r="I243" s="43" t="n"/>
      <c r="J243" s="43" t="n"/>
      <c r="K243" s="44" t="n"/>
      <c r="L243" s="58" t="n"/>
      <c r="M243" s="59" t="n"/>
      <c r="N243" s="60">
        <f>IF(COUNTBLANK(A243:L243)=12,"",1)</f>
        <v/>
      </c>
      <c r="O243" s="42" t="n"/>
    </row>
    <row r="244" ht="15" customHeight="1" s="34">
      <c r="A244" s="46" t="n"/>
      <c r="B244" s="39">
        <f>IF(A244="","",TEXT(A244,"mmm"))</f>
        <v/>
      </c>
      <c r="C244" s="39" t="n"/>
      <c r="D244" s="40" t="n"/>
      <c r="E244" s="39" t="n"/>
      <c r="F244" s="39">
        <f>IFERROR(INDEX(销售员主数据!$B$2:$B$101,MATCH($E244,销售员主数据!$A$2:$A$101,0)),"")</f>
        <v/>
      </c>
      <c r="G244" s="39">
        <f>IFERROR(INDEX(销售员主数据!$C$2:$C$101,MATCH($E244,销售员主数据!$A$2:$A$101,0)),"")</f>
        <v/>
      </c>
      <c r="H244" s="39">
        <f>IFERROR(INDEX(销售员主数据!$D$2:$D$101,MATCH($E244,销售员主数据!$A$2:$A$101,0)),"")</f>
        <v/>
      </c>
      <c r="I244" s="50" t="n"/>
      <c r="J244" s="50" t="n"/>
      <c r="K244" s="54" t="n"/>
      <c r="L244" s="55" t="n"/>
      <c r="M244" s="56" t="n"/>
      <c r="N244" s="57">
        <f>IF(COUNTBLANK(A244:L244)=12,"",1)</f>
        <v/>
      </c>
      <c r="O244" s="40" t="n"/>
    </row>
    <row r="245" ht="15" customHeight="1" s="34">
      <c r="A245" s="48" t="n"/>
      <c r="B245" s="41">
        <f>IF(A245="","",TEXT(A245,"mmm"))</f>
        <v/>
      </c>
      <c r="C245" s="41" t="n"/>
      <c r="D245" s="42" t="n"/>
      <c r="E245" s="41" t="n"/>
      <c r="F245" s="41">
        <f>IFERROR(INDEX(销售员主数据!$B$2:$B$101,MATCH($E245,销售员主数据!$A$2:$A$101,0)),"")</f>
        <v/>
      </c>
      <c r="G245" s="41">
        <f>IFERROR(INDEX(销售员主数据!$C$2:$C$101,MATCH($E245,销售员主数据!$A$2:$A$101,0)),"")</f>
        <v/>
      </c>
      <c r="H245" s="41">
        <f>IFERROR(INDEX(销售员主数据!$D$2:$D$101,MATCH($E245,销售员主数据!$A$2:$A$101,0)),"")</f>
        <v/>
      </c>
      <c r="I245" s="43" t="n"/>
      <c r="J245" s="43" t="n"/>
      <c r="K245" s="44" t="n"/>
      <c r="L245" s="58" t="n"/>
      <c r="M245" s="59" t="n"/>
      <c r="N245" s="60">
        <f>IF(COUNTBLANK(A245:L245)=12,"",1)</f>
        <v/>
      </c>
      <c r="O245" s="42" t="n"/>
    </row>
    <row r="246" ht="15" customHeight="1" s="34">
      <c r="A246" s="46" t="n"/>
      <c r="B246" s="39">
        <f>IF(A246="","",TEXT(A246,"mmm"))</f>
        <v/>
      </c>
      <c r="C246" s="39" t="n"/>
      <c r="D246" s="40" t="n"/>
      <c r="E246" s="39" t="n"/>
      <c r="F246" s="39">
        <f>IFERROR(INDEX(销售员主数据!$B$2:$B$101,MATCH($E246,销售员主数据!$A$2:$A$101,0)),"")</f>
        <v/>
      </c>
      <c r="G246" s="39">
        <f>IFERROR(INDEX(销售员主数据!$C$2:$C$101,MATCH($E246,销售员主数据!$A$2:$A$101,0)),"")</f>
        <v/>
      </c>
      <c r="H246" s="39">
        <f>IFERROR(INDEX(销售员主数据!$D$2:$D$101,MATCH($E246,销售员主数据!$A$2:$A$101,0)),"")</f>
        <v/>
      </c>
      <c r="I246" s="50" t="n"/>
      <c r="J246" s="50" t="n"/>
      <c r="K246" s="54" t="n"/>
      <c r="L246" s="55" t="n"/>
      <c r="M246" s="56" t="n"/>
      <c r="N246" s="57">
        <f>IF(COUNTBLANK(A246:L246)=12,"",1)</f>
        <v/>
      </c>
      <c r="O246" s="40" t="n"/>
    </row>
    <row r="247" ht="15" customHeight="1" s="34">
      <c r="A247" s="48" t="n"/>
      <c r="B247" s="41">
        <f>IF(A247="","",TEXT(A247,"mmm"))</f>
        <v/>
      </c>
      <c r="C247" s="41" t="n"/>
      <c r="D247" s="42" t="n"/>
      <c r="E247" s="41" t="n"/>
      <c r="F247" s="41">
        <f>IFERROR(INDEX(销售员主数据!$B$2:$B$101,MATCH($E247,销售员主数据!$A$2:$A$101,0)),"")</f>
        <v/>
      </c>
      <c r="G247" s="41">
        <f>IFERROR(INDEX(销售员主数据!$C$2:$C$101,MATCH($E247,销售员主数据!$A$2:$A$101,0)),"")</f>
        <v/>
      </c>
      <c r="H247" s="41">
        <f>IFERROR(INDEX(销售员主数据!$D$2:$D$101,MATCH($E247,销售员主数据!$A$2:$A$101,0)),"")</f>
        <v/>
      </c>
      <c r="I247" s="43" t="n"/>
      <c r="J247" s="43" t="n"/>
      <c r="K247" s="44" t="n"/>
      <c r="L247" s="58" t="n"/>
      <c r="M247" s="59" t="n"/>
      <c r="N247" s="60">
        <f>IF(COUNTBLANK(A247:L247)=12,"",1)</f>
        <v/>
      </c>
      <c r="O247" s="42" t="n"/>
    </row>
    <row r="248" ht="15" customHeight="1" s="34">
      <c r="A248" s="46" t="n"/>
      <c r="B248" s="39">
        <f>IF(A248="","",TEXT(A248,"mmm"))</f>
        <v/>
      </c>
      <c r="C248" s="39" t="n"/>
      <c r="D248" s="40" t="n"/>
      <c r="E248" s="39" t="n"/>
      <c r="F248" s="39">
        <f>IFERROR(INDEX(销售员主数据!$B$2:$B$101,MATCH($E248,销售员主数据!$A$2:$A$101,0)),"")</f>
        <v/>
      </c>
      <c r="G248" s="39">
        <f>IFERROR(INDEX(销售员主数据!$C$2:$C$101,MATCH($E248,销售员主数据!$A$2:$A$101,0)),"")</f>
        <v/>
      </c>
      <c r="H248" s="39">
        <f>IFERROR(INDEX(销售员主数据!$D$2:$D$101,MATCH($E248,销售员主数据!$A$2:$A$101,0)),"")</f>
        <v/>
      </c>
      <c r="I248" s="50" t="n"/>
      <c r="J248" s="50" t="n"/>
      <c r="K248" s="54" t="n"/>
      <c r="L248" s="55" t="n"/>
      <c r="M248" s="56" t="n"/>
      <c r="N248" s="57">
        <f>IF(COUNTBLANK(A248:L248)=12,"",1)</f>
        <v/>
      </c>
      <c r="O248" s="40" t="n"/>
    </row>
    <row r="249" ht="15" customHeight="1" s="34">
      <c r="A249" s="48" t="n"/>
      <c r="B249" s="41">
        <f>IF(A249="","",TEXT(A249,"mmm"))</f>
        <v/>
      </c>
      <c r="C249" s="41" t="n"/>
      <c r="D249" s="42" t="n"/>
      <c r="E249" s="41" t="n"/>
      <c r="F249" s="41">
        <f>IFERROR(INDEX(销售员主数据!$B$2:$B$101,MATCH($E249,销售员主数据!$A$2:$A$101,0)),"")</f>
        <v/>
      </c>
      <c r="G249" s="41">
        <f>IFERROR(INDEX(销售员主数据!$C$2:$C$101,MATCH($E249,销售员主数据!$A$2:$A$101,0)),"")</f>
        <v/>
      </c>
      <c r="H249" s="41">
        <f>IFERROR(INDEX(销售员主数据!$D$2:$D$101,MATCH($E249,销售员主数据!$A$2:$A$101,0)),"")</f>
        <v/>
      </c>
      <c r="I249" s="43" t="n"/>
      <c r="J249" s="43" t="n"/>
      <c r="K249" s="44" t="n"/>
      <c r="L249" s="58" t="n"/>
      <c r="M249" s="59" t="n"/>
      <c r="N249" s="60">
        <f>IF(COUNTBLANK(A249:L249)=12,"",1)</f>
        <v/>
      </c>
      <c r="O249" s="42" t="n"/>
    </row>
    <row r="250" ht="15" customHeight="1" s="34">
      <c r="A250" s="46" t="n"/>
      <c r="B250" s="39">
        <f>IF(A250="","",TEXT(A250,"mmm"))</f>
        <v/>
      </c>
      <c r="C250" s="39" t="n"/>
      <c r="D250" s="40" t="n"/>
      <c r="E250" s="39" t="n"/>
      <c r="F250" s="39">
        <f>IFERROR(INDEX(销售员主数据!$B$2:$B$101,MATCH($E250,销售员主数据!$A$2:$A$101,0)),"")</f>
        <v/>
      </c>
      <c r="G250" s="39">
        <f>IFERROR(INDEX(销售员主数据!$C$2:$C$101,MATCH($E250,销售员主数据!$A$2:$A$101,0)),"")</f>
        <v/>
      </c>
      <c r="H250" s="39">
        <f>IFERROR(INDEX(销售员主数据!$D$2:$D$101,MATCH($E250,销售员主数据!$A$2:$A$101,0)),"")</f>
        <v/>
      </c>
      <c r="I250" s="50" t="n"/>
      <c r="J250" s="50" t="n"/>
      <c r="K250" s="54" t="n"/>
      <c r="L250" s="55" t="n"/>
      <c r="M250" s="56" t="n"/>
      <c r="N250" s="57">
        <f>IF(COUNTBLANK(A250:L250)=12,"",1)</f>
        <v/>
      </c>
      <c r="O250" s="40" t="n"/>
    </row>
    <row r="251" ht="15" customHeight="1" s="34">
      <c r="A251" s="48" t="n"/>
      <c r="B251" s="41">
        <f>IF(A251="","",TEXT(A251,"mmm"))</f>
        <v/>
      </c>
      <c r="C251" s="41" t="n"/>
      <c r="D251" s="42" t="n"/>
      <c r="E251" s="41" t="n"/>
      <c r="F251" s="41">
        <f>IFERROR(INDEX(销售员主数据!$B$2:$B$101,MATCH($E251,销售员主数据!$A$2:$A$101,0)),"")</f>
        <v/>
      </c>
      <c r="G251" s="41">
        <f>IFERROR(INDEX(销售员主数据!$C$2:$C$101,MATCH($E251,销售员主数据!$A$2:$A$101,0)),"")</f>
        <v/>
      </c>
      <c r="H251" s="41">
        <f>IFERROR(INDEX(销售员主数据!$D$2:$D$101,MATCH($E251,销售员主数据!$A$2:$A$101,0)),"")</f>
        <v/>
      </c>
      <c r="I251" s="43" t="n"/>
      <c r="J251" s="43" t="n"/>
      <c r="K251" s="44" t="n"/>
      <c r="L251" s="58" t="n"/>
      <c r="M251" s="59" t="n"/>
      <c r="N251" s="60">
        <f>IF(COUNTBLANK(A251:L251)=12,"",1)</f>
        <v/>
      </c>
      <c r="O251" s="42" t="n"/>
    </row>
    <row r="252" ht="15" customHeight="1" s="34">
      <c r="A252" s="46" t="n"/>
      <c r="B252" s="39">
        <f>IF(A252="","",TEXT(A252,"mmm"))</f>
        <v/>
      </c>
      <c r="C252" s="39" t="n"/>
      <c r="D252" s="40" t="n"/>
      <c r="E252" s="39" t="n"/>
      <c r="F252" s="39">
        <f>IFERROR(INDEX(销售员主数据!$B$2:$B$101,MATCH($E252,销售员主数据!$A$2:$A$101,0)),"")</f>
        <v/>
      </c>
      <c r="G252" s="39">
        <f>IFERROR(INDEX(销售员主数据!$C$2:$C$101,MATCH($E252,销售员主数据!$A$2:$A$101,0)),"")</f>
        <v/>
      </c>
      <c r="H252" s="39">
        <f>IFERROR(INDEX(销售员主数据!$D$2:$D$101,MATCH($E252,销售员主数据!$A$2:$A$101,0)),"")</f>
        <v/>
      </c>
      <c r="I252" s="50" t="n"/>
      <c r="J252" s="50" t="n"/>
      <c r="K252" s="54" t="n"/>
      <c r="L252" s="55" t="n"/>
      <c r="M252" s="56" t="n"/>
      <c r="N252" s="57">
        <f>IF(COUNTBLANK(A252:L252)=12,"",1)</f>
        <v/>
      </c>
      <c r="O252" s="40" t="n"/>
    </row>
    <row r="253" ht="15" customHeight="1" s="34">
      <c r="A253" s="48" t="n"/>
      <c r="B253" s="41">
        <f>IF(A253="","",TEXT(A253,"mmm"))</f>
        <v/>
      </c>
      <c r="C253" s="41" t="n"/>
      <c r="D253" s="42" t="n"/>
      <c r="E253" s="41" t="n"/>
      <c r="F253" s="41">
        <f>IFERROR(INDEX(销售员主数据!$B$2:$B$101,MATCH($E253,销售员主数据!$A$2:$A$101,0)),"")</f>
        <v/>
      </c>
      <c r="G253" s="41">
        <f>IFERROR(INDEX(销售员主数据!$C$2:$C$101,MATCH($E253,销售员主数据!$A$2:$A$101,0)),"")</f>
        <v/>
      </c>
      <c r="H253" s="41">
        <f>IFERROR(INDEX(销售员主数据!$D$2:$D$101,MATCH($E253,销售员主数据!$A$2:$A$101,0)),"")</f>
        <v/>
      </c>
      <c r="I253" s="43" t="n"/>
      <c r="J253" s="43" t="n"/>
      <c r="K253" s="44" t="n"/>
      <c r="L253" s="58" t="n"/>
      <c r="M253" s="59" t="n"/>
      <c r="N253" s="60">
        <f>IF(COUNTBLANK(A253:L253)=12,"",1)</f>
        <v/>
      </c>
      <c r="O253" s="42" t="n"/>
    </row>
    <row r="254" ht="15" customHeight="1" s="34">
      <c r="A254" s="46" t="n"/>
      <c r="B254" s="39">
        <f>IF(A254="","",TEXT(A254,"mmm"))</f>
        <v/>
      </c>
      <c r="C254" s="39" t="n"/>
      <c r="D254" s="40" t="n"/>
      <c r="E254" s="39" t="n"/>
      <c r="F254" s="39">
        <f>IFERROR(INDEX(销售员主数据!$B$2:$B$101,MATCH($E254,销售员主数据!$A$2:$A$101,0)),"")</f>
        <v/>
      </c>
      <c r="G254" s="39">
        <f>IFERROR(INDEX(销售员主数据!$C$2:$C$101,MATCH($E254,销售员主数据!$A$2:$A$101,0)),"")</f>
        <v/>
      </c>
      <c r="H254" s="39">
        <f>IFERROR(INDEX(销售员主数据!$D$2:$D$101,MATCH($E254,销售员主数据!$A$2:$A$101,0)),"")</f>
        <v/>
      </c>
      <c r="I254" s="50" t="n"/>
      <c r="J254" s="50" t="n"/>
      <c r="K254" s="54" t="n"/>
      <c r="L254" s="55" t="n"/>
      <c r="M254" s="56" t="n"/>
      <c r="N254" s="57">
        <f>IF(COUNTBLANK(A254:L254)=12,"",1)</f>
        <v/>
      </c>
      <c r="O254" s="40" t="n"/>
    </row>
    <row r="255" ht="15" customHeight="1" s="34">
      <c r="A255" s="48" t="n"/>
      <c r="B255" s="41">
        <f>IF(A255="","",TEXT(A255,"mmm"))</f>
        <v/>
      </c>
      <c r="C255" s="41" t="n"/>
      <c r="D255" s="42" t="n"/>
      <c r="E255" s="41" t="n"/>
      <c r="F255" s="41">
        <f>IFERROR(INDEX(销售员主数据!$B$2:$B$101,MATCH($E255,销售员主数据!$A$2:$A$101,0)),"")</f>
        <v/>
      </c>
      <c r="G255" s="41">
        <f>IFERROR(INDEX(销售员主数据!$C$2:$C$101,MATCH($E255,销售员主数据!$A$2:$A$101,0)),"")</f>
        <v/>
      </c>
      <c r="H255" s="41">
        <f>IFERROR(INDEX(销售员主数据!$D$2:$D$101,MATCH($E255,销售员主数据!$A$2:$A$101,0)),"")</f>
        <v/>
      </c>
      <c r="I255" s="43" t="n"/>
      <c r="J255" s="43" t="n"/>
      <c r="K255" s="44" t="n"/>
      <c r="L255" s="58" t="n"/>
      <c r="M255" s="59" t="n"/>
      <c r="N255" s="60">
        <f>IF(COUNTBLANK(A255:L255)=12,"",1)</f>
        <v/>
      </c>
      <c r="O255" s="42" t="n"/>
    </row>
    <row r="256" ht="15" customHeight="1" s="34">
      <c r="A256" s="46" t="n"/>
      <c r="B256" s="39">
        <f>IF(A256="","",TEXT(A256,"mmm"))</f>
        <v/>
      </c>
      <c r="C256" s="39" t="n"/>
      <c r="D256" s="40" t="n"/>
      <c r="E256" s="39" t="n"/>
      <c r="F256" s="39">
        <f>IFERROR(INDEX(销售员主数据!$B$2:$B$101,MATCH($E256,销售员主数据!$A$2:$A$101,0)),"")</f>
        <v/>
      </c>
      <c r="G256" s="39">
        <f>IFERROR(INDEX(销售员主数据!$C$2:$C$101,MATCH($E256,销售员主数据!$A$2:$A$101,0)),"")</f>
        <v/>
      </c>
      <c r="H256" s="39">
        <f>IFERROR(INDEX(销售员主数据!$D$2:$D$101,MATCH($E256,销售员主数据!$A$2:$A$101,0)),"")</f>
        <v/>
      </c>
      <c r="I256" s="50" t="n"/>
      <c r="J256" s="50" t="n"/>
      <c r="K256" s="54" t="n"/>
      <c r="L256" s="55" t="n"/>
      <c r="M256" s="56" t="n"/>
      <c r="N256" s="57">
        <f>IF(COUNTBLANK(A256:L256)=12,"",1)</f>
        <v/>
      </c>
      <c r="O256" s="40" t="n"/>
    </row>
    <row r="257" ht="15" customHeight="1" s="34">
      <c r="A257" s="48" t="n"/>
      <c r="B257" s="41">
        <f>IF(A257="","",TEXT(A257,"mmm"))</f>
        <v/>
      </c>
      <c r="C257" s="41" t="n"/>
      <c r="D257" s="42" t="n"/>
      <c r="E257" s="41" t="n"/>
      <c r="F257" s="41">
        <f>IFERROR(INDEX(销售员主数据!$B$2:$B$101,MATCH($E257,销售员主数据!$A$2:$A$101,0)),"")</f>
        <v/>
      </c>
      <c r="G257" s="41">
        <f>IFERROR(INDEX(销售员主数据!$C$2:$C$101,MATCH($E257,销售员主数据!$A$2:$A$101,0)),"")</f>
        <v/>
      </c>
      <c r="H257" s="41">
        <f>IFERROR(INDEX(销售员主数据!$D$2:$D$101,MATCH($E257,销售员主数据!$A$2:$A$101,0)),"")</f>
        <v/>
      </c>
      <c r="I257" s="43" t="n"/>
      <c r="J257" s="43" t="n"/>
      <c r="K257" s="44" t="n"/>
      <c r="L257" s="58" t="n"/>
      <c r="M257" s="59" t="n"/>
      <c r="N257" s="60">
        <f>IF(COUNTBLANK(A257:L257)=12,"",1)</f>
        <v/>
      </c>
      <c r="O257" s="42" t="n"/>
    </row>
    <row r="258" ht="15" customHeight="1" s="34">
      <c r="A258" s="46" t="n"/>
      <c r="B258" s="39">
        <f>IF(A258="","",TEXT(A258,"mmm"))</f>
        <v/>
      </c>
      <c r="C258" s="39" t="n"/>
      <c r="D258" s="40" t="n"/>
      <c r="E258" s="39" t="n"/>
      <c r="F258" s="39">
        <f>IFERROR(INDEX(销售员主数据!$B$2:$B$101,MATCH($E258,销售员主数据!$A$2:$A$101,0)),"")</f>
        <v/>
      </c>
      <c r="G258" s="39">
        <f>IFERROR(INDEX(销售员主数据!$C$2:$C$101,MATCH($E258,销售员主数据!$A$2:$A$101,0)),"")</f>
        <v/>
      </c>
      <c r="H258" s="39">
        <f>IFERROR(INDEX(销售员主数据!$D$2:$D$101,MATCH($E258,销售员主数据!$A$2:$A$101,0)),"")</f>
        <v/>
      </c>
      <c r="I258" s="50" t="n"/>
      <c r="J258" s="50" t="n"/>
      <c r="K258" s="54" t="n"/>
      <c r="L258" s="55" t="n"/>
      <c r="M258" s="56" t="n"/>
      <c r="N258" s="57">
        <f>IF(COUNTBLANK(A258:L258)=12,"",1)</f>
        <v/>
      </c>
      <c r="O258" s="40" t="n"/>
    </row>
    <row r="259" ht="15" customHeight="1" s="34">
      <c r="A259" s="48" t="n"/>
      <c r="B259" s="41">
        <f>IF(A259="","",TEXT(A259,"mmm"))</f>
        <v/>
      </c>
      <c r="C259" s="41" t="n"/>
      <c r="D259" s="42" t="n"/>
      <c r="E259" s="41" t="n"/>
      <c r="F259" s="41">
        <f>IFERROR(INDEX(销售员主数据!$B$2:$B$101,MATCH($E259,销售员主数据!$A$2:$A$101,0)),"")</f>
        <v/>
      </c>
      <c r="G259" s="41">
        <f>IFERROR(INDEX(销售员主数据!$C$2:$C$101,MATCH($E259,销售员主数据!$A$2:$A$101,0)),"")</f>
        <v/>
      </c>
      <c r="H259" s="41">
        <f>IFERROR(INDEX(销售员主数据!$D$2:$D$101,MATCH($E259,销售员主数据!$A$2:$A$101,0)),"")</f>
        <v/>
      </c>
      <c r="I259" s="43" t="n"/>
      <c r="J259" s="43" t="n"/>
      <c r="K259" s="44" t="n"/>
      <c r="L259" s="58" t="n"/>
      <c r="M259" s="59" t="n"/>
      <c r="N259" s="60">
        <f>IF(COUNTBLANK(A259:L259)=12,"",1)</f>
        <v/>
      </c>
      <c r="O259" s="42" t="n"/>
    </row>
    <row r="260" ht="15" customHeight="1" s="34">
      <c r="A260" s="46" t="n"/>
      <c r="B260" s="39">
        <f>IF(A260="","",TEXT(A260,"mmm"))</f>
        <v/>
      </c>
      <c r="C260" s="39" t="n"/>
      <c r="D260" s="40" t="n"/>
      <c r="E260" s="39" t="n"/>
      <c r="F260" s="39">
        <f>IFERROR(INDEX(销售员主数据!$B$2:$B$101,MATCH($E260,销售员主数据!$A$2:$A$101,0)),"")</f>
        <v/>
      </c>
      <c r="G260" s="39">
        <f>IFERROR(INDEX(销售员主数据!$C$2:$C$101,MATCH($E260,销售员主数据!$A$2:$A$101,0)),"")</f>
        <v/>
      </c>
      <c r="H260" s="39">
        <f>IFERROR(INDEX(销售员主数据!$D$2:$D$101,MATCH($E260,销售员主数据!$A$2:$A$101,0)),"")</f>
        <v/>
      </c>
      <c r="I260" s="50" t="n"/>
      <c r="J260" s="50" t="n"/>
      <c r="K260" s="54" t="n"/>
      <c r="L260" s="55" t="n"/>
      <c r="M260" s="56" t="n"/>
      <c r="N260" s="57">
        <f>IF(COUNTBLANK(A260:L260)=12,"",1)</f>
        <v/>
      </c>
      <c r="O260" s="40" t="n"/>
    </row>
    <row r="261" ht="15" customHeight="1" s="34">
      <c r="A261" s="48" t="n"/>
      <c r="B261" s="41">
        <f>IF(A261="","",TEXT(A261,"mmm"))</f>
        <v/>
      </c>
      <c r="C261" s="41" t="n"/>
      <c r="D261" s="42" t="n"/>
      <c r="E261" s="41" t="n"/>
      <c r="F261" s="41">
        <f>IFERROR(INDEX(销售员主数据!$B$2:$B$101,MATCH($E261,销售员主数据!$A$2:$A$101,0)),"")</f>
        <v/>
      </c>
      <c r="G261" s="41">
        <f>IFERROR(INDEX(销售员主数据!$C$2:$C$101,MATCH($E261,销售员主数据!$A$2:$A$101,0)),"")</f>
        <v/>
      </c>
      <c r="H261" s="41">
        <f>IFERROR(INDEX(销售员主数据!$D$2:$D$101,MATCH($E261,销售员主数据!$A$2:$A$101,0)),"")</f>
        <v/>
      </c>
      <c r="I261" s="43" t="n"/>
      <c r="J261" s="43" t="n"/>
      <c r="K261" s="44" t="n"/>
      <c r="L261" s="58" t="n"/>
      <c r="M261" s="59" t="n"/>
      <c r="N261" s="60">
        <f>IF(COUNTBLANK(A261:L261)=12,"",1)</f>
        <v/>
      </c>
      <c r="O261" s="42" t="n"/>
    </row>
    <row r="262" ht="15" customHeight="1" s="34">
      <c r="A262" s="46" t="n"/>
      <c r="B262" s="39">
        <f>IF(A262="","",TEXT(A262,"mmm"))</f>
        <v/>
      </c>
      <c r="C262" s="39" t="n"/>
      <c r="D262" s="40" t="n"/>
      <c r="E262" s="39" t="n"/>
      <c r="F262" s="39">
        <f>IFERROR(INDEX(销售员主数据!$B$2:$B$101,MATCH($E262,销售员主数据!$A$2:$A$101,0)),"")</f>
        <v/>
      </c>
      <c r="G262" s="39">
        <f>IFERROR(INDEX(销售员主数据!$C$2:$C$101,MATCH($E262,销售员主数据!$A$2:$A$101,0)),"")</f>
        <v/>
      </c>
      <c r="H262" s="39">
        <f>IFERROR(INDEX(销售员主数据!$D$2:$D$101,MATCH($E262,销售员主数据!$A$2:$A$101,0)),"")</f>
        <v/>
      </c>
      <c r="I262" s="50" t="n"/>
      <c r="J262" s="50" t="n"/>
      <c r="K262" s="54" t="n"/>
      <c r="L262" s="55" t="n"/>
      <c r="M262" s="56" t="n"/>
      <c r="N262" s="57">
        <f>IF(COUNTBLANK(A262:L262)=12,"",1)</f>
        <v/>
      </c>
      <c r="O262" s="40" t="n"/>
    </row>
    <row r="263" ht="15" customHeight="1" s="34">
      <c r="A263" s="48" t="n"/>
      <c r="B263" s="41">
        <f>IF(A263="","",TEXT(A263,"mmm"))</f>
        <v/>
      </c>
      <c r="C263" s="41" t="n"/>
      <c r="D263" s="42" t="n"/>
      <c r="E263" s="41" t="n"/>
      <c r="F263" s="41">
        <f>IFERROR(INDEX(销售员主数据!$B$2:$B$101,MATCH($E263,销售员主数据!$A$2:$A$101,0)),"")</f>
        <v/>
      </c>
      <c r="G263" s="41">
        <f>IFERROR(INDEX(销售员主数据!$C$2:$C$101,MATCH($E263,销售员主数据!$A$2:$A$101,0)),"")</f>
        <v/>
      </c>
      <c r="H263" s="41">
        <f>IFERROR(INDEX(销售员主数据!$D$2:$D$101,MATCH($E263,销售员主数据!$A$2:$A$101,0)),"")</f>
        <v/>
      </c>
      <c r="I263" s="43" t="n"/>
      <c r="J263" s="43" t="n"/>
      <c r="K263" s="44" t="n"/>
      <c r="L263" s="58" t="n"/>
      <c r="M263" s="59" t="n"/>
      <c r="N263" s="60">
        <f>IF(COUNTBLANK(A263:L263)=12,"",1)</f>
        <v/>
      </c>
      <c r="O263" s="42" t="n"/>
    </row>
    <row r="264" ht="15" customHeight="1" s="34">
      <c r="A264" s="46" t="n"/>
      <c r="B264" s="39">
        <f>IF(A264="","",TEXT(A264,"mmm"))</f>
        <v/>
      </c>
      <c r="C264" s="39" t="n"/>
      <c r="D264" s="40" t="n"/>
      <c r="E264" s="39" t="n"/>
      <c r="F264" s="39">
        <f>IFERROR(INDEX(销售员主数据!$B$2:$B$101,MATCH($E264,销售员主数据!$A$2:$A$101,0)),"")</f>
        <v/>
      </c>
      <c r="G264" s="39">
        <f>IFERROR(INDEX(销售员主数据!$C$2:$C$101,MATCH($E264,销售员主数据!$A$2:$A$101,0)),"")</f>
        <v/>
      </c>
      <c r="H264" s="39">
        <f>IFERROR(INDEX(销售员主数据!$D$2:$D$101,MATCH($E264,销售员主数据!$A$2:$A$101,0)),"")</f>
        <v/>
      </c>
      <c r="I264" s="50" t="n"/>
      <c r="J264" s="50" t="n"/>
      <c r="K264" s="54" t="n"/>
      <c r="L264" s="55" t="n"/>
      <c r="M264" s="56" t="n"/>
      <c r="N264" s="57">
        <f>IF(COUNTBLANK(A264:L264)=12,"",1)</f>
        <v/>
      </c>
      <c r="O264" s="40" t="n"/>
    </row>
    <row r="265" ht="15" customHeight="1" s="34">
      <c r="A265" s="48" t="n"/>
      <c r="B265" s="41">
        <f>IF(A265="","",TEXT(A265,"mmm"))</f>
        <v/>
      </c>
      <c r="C265" s="41" t="n"/>
      <c r="D265" s="42" t="n"/>
      <c r="E265" s="41" t="n"/>
      <c r="F265" s="41">
        <f>IFERROR(INDEX(销售员主数据!$B$2:$B$101,MATCH($E265,销售员主数据!$A$2:$A$101,0)),"")</f>
        <v/>
      </c>
      <c r="G265" s="41">
        <f>IFERROR(INDEX(销售员主数据!$C$2:$C$101,MATCH($E265,销售员主数据!$A$2:$A$101,0)),"")</f>
        <v/>
      </c>
      <c r="H265" s="41">
        <f>IFERROR(INDEX(销售员主数据!$D$2:$D$101,MATCH($E265,销售员主数据!$A$2:$A$101,0)),"")</f>
        <v/>
      </c>
      <c r="I265" s="43" t="n"/>
      <c r="J265" s="43" t="n"/>
      <c r="K265" s="44" t="n"/>
      <c r="L265" s="58" t="n"/>
      <c r="M265" s="59" t="n"/>
      <c r="N265" s="60">
        <f>IF(COUNTBLANK(A265:L265)=12,"",1)</f>
        <v/>
      </c>
      <c r="O265" s="42" t="n"/>
    </row>
    <row r="266" ht="15" customHeight="1" s="34">
      <c r="A266" s="46" t="n"/>
      <c r="B266" s="39">
        <f>IF(A266="","",TEXT(A266,"mmm"))</f>
        <v/>
      </c>
      <c r="C266" s="39" t="n"/>
      <c r="D266" s="40" t="n"/>
      <c r="E266" s="39" t="n"/>
      <c r="F266" s="39">
        <f>IFERROR(INDEX(销售员主数据!$B$2:$B$101,MATCH($E266,销售员主数据!$A$2:$A$101,0)),"")</f>
        <v/>
      </c>
      <c r="G266" s="39">
        <f>IFERROR(INDEX(销售员主数据!$C$2:$C$101,MATCH($E266,销售员主数据!$A$2:$A$101,0)),"")</f>
        <v/>
      </c>
      <c r="H266" s="39">
        <f>IFERROR(INDEX(销售员主数据!$D$2:$D$101,MATCH($E266,销售员主数据!$A$2:$A$101,0)),"")</f>
        <v/>
      </c>
      <c r="I266" s="50" t="n"/>
      <c r="J266" s="50" t="n"/>
      <c r="K266" s="54" t="n"/>
      <c r="L266" s="55" t="n"/>
      <c r="M266" s="56" t="n"/>
      <c r="N266" s="57">
        <f>IF(COUNTBLANK(A266:L266)=12,"",1)</f>
        <v/>
      </c>
      <c r="O266" s="40" t="n"/>
    </row>
    <row r="267" ht="15" customHeight="1" s="34">
      <c r="A267" s="48" t="n"/>
      <c r="B267" s="41">
        <f>IF(A267="","",TEXT(A267,"mmm"))</f>
        <v/>
      </c>
      <c r="C267" s="41" t="n"/>
      <c r="D267" s="42" t="n"/>
      <c r="E267" s="41" t="n"/>
      <c r="F267" s="41">
        <f>IFERROR(INDEX(销售员主数据!$B$2:$B$101,MATCH($E267,销售员主数据!$A$2:$A$101,0)),"")</f>
        <v/>
      </c>
      <c r="G267" s="41">
        <f>IFERROR(INDEX(销售员主数据!$C$2:$C$101,MATCH($E267,销售员主数据!$A$2:$A$101,0)),"")</f>
        <v/>
      </c>
      <c r="H267" s="41">
        <f>IFERROR(INDEX(销售员主数据!$D$2:$D$101,MATCH($E267,销售员主数据!$A$2:$A$101,0)),"")</f>
        <v/>
      </c>
      <c r="I267" s="43" t="n"/>
      <c r="J267" s="43" t="n"/>
      <c r="K267" s="44" t="n"/>
      <c r="L267" s="58" t="n"/>
      <c r="M267" s="59" t="n"/>
      <c r="N267" s="60">
        <f>IF(COUNTBLANK(A267:L267)=12,"",1)</f>
        <v/>
      </c>
      <c r="O267" s="42" t="n"/>
    </row>
    <row r="268" ht="15" customHeight="1" s="34">
      <c r="A268" s="46" t="n"/>
      <c r="B268" s="39">
        <f>IF(A268="","",TEXT(A268,"mmm"))</f>
        <v/>
      </c>
      <c r="C268" s="39" t="n"/>
      <c r="D268" s="40" t="n"/>
      <c r="E268" s="39" t="n"/>
      <c r="F268" s="39">
        <f>IFERROR(INDEX(销售员主数据!$B$2:$B$101,MATCH($E268,销售员主数据!$A$2:$A$101,0)),"")</f>
        <v/>
      </c>
      <c r="G268" s="39">
        <f>IFERROR(INDEX(销售员主数据!$C$2:$C$101,MATCH($E268,销售员主数据!$A$2:$A$101,0)),"")</f>
        <v/>
      </c>
      <c r="H268" s="39">
        <f>IFERROR(INDEX(销售员主数据!$D$2:$D$101,MATCH($E268,销售员主数据!$A$2:$A$101,0)),"")</f>
        <v/>
      </c>
      <c r="I268" s="50" t="n"/>
      <c r="J268" s="50" t="n"/>
      <c r="K268" s="54" t="n"/>
      <c r="L268" s="55" t="n"/>
      <c r="M268" s="56" t="n"/>
      <c r="N268" s="57">
        <f>IF(COUNTBLANK(A268:L268)=12,"",1)</f>
        <v/>
      </c>
      <c r="O268" s="40" t="n"/>
    </row>
    <row r="269" ht="15" customHeight="1" s="34">
      <c r="A269" s="48" t="n"/>
      <c r="B269" s="41">
        <f>IF(A269="","",TEXT(A269,"mmm"))</f>
        <v/>
      </c>
      <c r="C269" s="41" t="n"/>
      <c r="D269" s="42" t="n"/>
      <c r="E269" s="41" t="n"/>
      <c r="F269" s="41">
        <f>IFERROR(INDEX(销售员主数据!$B$2:$B$101,MATCH($E269,销售员主数据!$A$2:$A$101,0)),"")</f>
        <v/>
      </c>
      <c r="G269" s="41">
        <f>IFERROR(INDEX(销售员主数据!$C$2:$C$101,MATCH($E269,销售员主数据!$A$2:$A$101,0)),"")</f>
        <v/>
      </c>
      <c r="H269" s="41">
        <f>IFERROR(INDEX(销售员主数据!$D$2:$D$101,MATCH($E269,销售员主数据!$A$2:$A$101,0)),"")</f>
        <v/>
      </c>
      <c r="I269" s="43" t="n"/>
      <c r="J269" s="43" t="n"/>
      <c r="K269" s="44" t="n"/>
      <c r="L269" s="58" t="n"/>
      <c r="M269" s="59" t="n"/>
      <c r="N269" s="60">
        <f>IF(COUNTBLANK(A269:L269)=12,"",1)</f>
        <v/>
      </c>
      <c r="O269" s="42" t="n"/>
    </row>
    <row r="270" ht="15" customHeight="1" s="34">
      <c r="A270" s="46" t="n"/>
      <c r="B270" s="39">
        <f>IF(A270="","",TEXT(A270,"mmm"))</f>
        <v/>
      </c>
      <c r="C270" s="39" t="n"/>
      <c r="D270" s="40" t="n"/>
      <c r="E270" s="39" t="n"/>
      <c r="F270" s="39">
        <f>IFERROR(INDEX(销售员主数据!$B$2:$B$101,MATCH($E270,销售员主数据!$A$2:$A$101,0)),"")</f>
        <v/>
      </c>
      <c r="G270" s="39">
        <f>IFERROR(INDEX(销售员主数据!$C$2:$C$101,MATCH($E270,销售员主数据!$A$2:$A$101,0)),"")</f>
        <v/>
      </c>
      <c r="H270" s="39">
        <f>IFERROR(INDEX(销售员主数据!$D$2:$D$101,MATCH($E270,销售员主数据!$A$2:$A$101,0)),"")</f>
        <v/>
      </c>
      <c r="I270" s="50" t="n"/>
      <c r="J270" s="50" t="n"/>
      <c r="K270" s="54" t="n"/>
      <c r="L270" s="55" t="n"/>
      <c r="M270" s="56" t="n"/>
      <c r="N270" s="57">
        <f>IF(COUNTBLANK(A270:L270)=12,"",1)</f>
        <v/>
      </c>
      <c r="O270" s="40" t="n"/>
    </row>
    <row r="271" ht="15" customHeight="1" s="34">
      <c r="A271" s="48" t="n"/>
      <c r="B271" s="41">
        <f>IF(A271="","",TEXT(A271,"mmm"))</f>
        <v/>
      </c>
      <c r="C271" s="41" t="n"/>
      <c r="D271" s="42" t="n"/>
      <c r="E271" s="41" t="n"/>
      <c r="F271" s="41">
        <f>IFERROR(INDEX(销售员主数据!$B$2:$B$101,MATCH($E271,销售员主数据!$A$2:$A$101,0)),"")</f>
        <v/>
      </c>
      <c r="G271" s="41">
        <f>IFERROR(INDEX(销售员主数据!$C$2:$C$101,MATCH($E271,销售员主数据!$A$2:$A$101,0)),"")</f>
        <v/>
      </c>
      <c r="H271" s="41">
        <f>IFERROR(INDEX(销售员主数据!$D$2:$D$101,MATCH($E271,销售员主数据!$A$2:$A$101,0)),"")</f>
        <v/>
      </c>
      <c r="I271" s="43" t="n"/>
      <c r="J271" s="43" t="n"/>
      <c r="K271" s="44" t="n"/>
      <c r="L271" s="58" t="n"/>
      <c r="M271" s="59" t="n"/>
      <c r="N271" s="60">
        <f>IF(COUNTBLANK(A271:L271)=12,"",1)</f>
        <v/>
      </c>
      <c r="O271" s="42" t="n"/>
    </row>
    <row r="272" ht="15" customHeight="1" s="34">
      <c r="A272" s="46" t="n"/>
      <c r="B272" s="39">
        <f>IF(A272="","",TEXT(A272,"mmm"))</f>
        <v/>
      </c>
      <c r="C272" s="39" t="n"/>
      <c r="D272" s="40" t="n"/>
      <c r="E272" s="39" t="n"/>
      <c r="F272" s="39">
        <f>IFERROR(INDEX(销售员主数据!$B$2:$B$101,MATCH($E272,销售员主数据!$A$2:$A$101,0)),"")</f>
        <v/>
      </c>
      <c r="G272" s="39">
        <f>IFERROR(INDEX(销售员主数据!$C$2:$C$101,MATCH($E272,销售员主数据!$A$2:$A$101,0)),"")</f>
        <v/>
      </c>
      <c r="H272" s="39">
        <f>IFERROR(INDEX(销售员主数据!$D$2:$D$101,MATCH($E272,销售员主数据!$A$2:$A$101,0)),"")</f>
        <v/>
      </c>
      <c r="I272" s="50" t="n"/>
      <c r="J272" s="50" t="n"/>
      <c r="K272" s="54" t="n"/>
      <c r="L272" s="55" t="n"/>
      <c r="M272" s="56" t="n"/>
      <c r="N272" s="57">
        <f>IF(COUNTBLANK(A272:L272)=12,"",1)</f>
        <v/>
      </c>
      <c r="O272" s="40" t="n"/>
    </row>
    <row r="273" ht="15" customHeight="1" s="34">
      <c r="A273" s="48" t="n"/>
      <c r="B273" s="41">
        <f>IF(A273="","",TEXT(A273,"mmm"))</f>
        <v/>
      </c>
      <c r="C273" s="41" t="n"/>
      <c r="D273" s="42" t="n"/>
      <c r="E273" s="41" t="n"/>
      <c r="F273" s="41">
        <f>IFERROR(INDEX(销售员主数据!$B$2:$B$101,MATCH($E273,销售员主数据!$A$2:$A$101,0)),"")</f>
        <v/>
      </c>
      <c r="G273" s="41">
        <f>IFERROR(INDEX(销售员主数据!$C$2:$C$101,MATCH($E273,销售员主数据!$A$2:$A$101,0)),"")</f>
        <v/>
      </c>
      <c r="H273" s="41">
        <f>IFERROR(INDEX(销售员主数据!$D$2:$D$101,MATCH($E273,销售员主数据!$A$2:$A$101,0)),"")</f>
        <v/>
      </c>
      <c r="I273" s="43" t="n"/>
      <c r="J273" s="43" t="n"/>
      <c r="K273" s="44" t="n"/>
      <c r="L273" s="58" t="n"/>
      <c r="M273" s="59" t="n"/>
      <c r="N273" s="60">
        <f>IF(COUNTBLANK(A273:L273)=12,"",1)</f>
        <v/>
      </c>
      <c r="O273" s="42" t="n"/>
    </row>
    <row r="274" ht="15" customHeight="1" s="34">
      <c r="A274" s="46" t="n"/>
      <c r="B274" s="39">
        <f>IF(A274="","",TEXT(A274,"mmm"))</f>
        <v/>
      </c>
      <c r="C274" s="39" t="n"/>
      <c r="D274" s="40" t="n"/>
      <c r="E274" s="39" t="n"/>
      <c r="F274" s="39">
        <f>IFERROR(INDEX(销售员主数据!$B$2:$B$101,MATCH($E274,销售员主数据!$A$2:$A$101,0)),"")</f>
        <v/>
      </c>
      <c r="G274" s="39">
        <f>IFERROR(INDEX(销售员主数据!$C$2:$C$101,MATCH($E274,销售员主数据!$A$2:$A$101,0)),"")</f>
        <v/>
      </c>
      <c r="H274" s="39">
        <f>IFERROR(INDEX(销售员主数据!$D$2:$D$101,MATCH($E274,销售员主数据!$A$2:$A$101,0)),"")</f>
        <v/>
      </c>
      <c r="I274" s="50" t="n"/>
      <c r="J274" s="50" t="n"/>
      <c r="K274" s="54" t="n"/>
      <c r="L274" s="55" t="n"/>
      <c r="M274" s="56" t="n"/>
      <c r="N274" s="57">
        <f>IF(COUNTBLANK(A274:L274)=12,"",1)</f>
        <v/>
      </c>
      <c r="O274" s="40" t="n"/>
    </row>
    <row r="275" ht="15" customHeight="1" s="34">
      <c r="A275" s="48" t="n"/>
      <c r="B275" s="41">
        <f>IF(A275="","",TEXT(A275,"mmm"))</f>
        <v/>
      </c>
      <c r="C275" s="41" t="n"/>
      <c r="D275" s="42" t="n"/>
      <c r="E275" s="41" t="n"/>
      <c r="F275" s="41">
        <f>IFERROR(INDEX(销售员主数据!$B$2:$B$101,MATCH($E275,销售员主数据!$A$2:$A$101,0)),"")</f>
        <v/>
      </c>
      <c r="G275" s="41">
        <f>IFERROR(INDEX(销售员主数据!$C$2:$C$101,MATCH($E275,销售员主数据!$A$2:$A$101,0)),"")</f>
        <v/>
      </c>
      <c r="H275" s="41">
        <f>IFERROR(INDEX(销售员主数据!$D$2:$D$101,MATCH($E275,销售员主数据!$A$2:$A$101,0)),"")</f>
        <v/>
      </c>
      <c r="I275" s="43" t="n"/>
      <c r="J275" s="43" t="n"/>
      <c r="K275" s="44" t="n"/>
      <c r="L275" s="58" t="n"/>
      <c r="M275" s="59" t="n"/>
      <c r="N275" s="60">
        <f>IF(COUNTBLANK(A275:L275)=12,"",1)</f>
        <v/>
      </c>
      <c r="O275" s="42" t="n"/>
    </row>
    <row r="276" ht="15" customHeight="1" s="34">
      <c r="A276" s="46" t="n"/>
      <c r="B276" s="39">
        <f>IF(A276="","",TEXT(A276,"mmm"))</f>
        <v/>
      </c>
      <c r="C276" s="39" t="n"/>
      <c r="D276" s="40" t="n"/>
      <c r="E276" s="39" t="n"/>
      <c r="F276" s="39">
        <f>IFERROR(INDEX(销售员主数据!$B$2:$B$101,MATCH($E276,销售员主数据!$A$2:$A$101,0)),"")</f>
        <v/>
      </c>
      <c r="G276" s="39">
        <f>IFERROR(INDEX(销售员主数据!$C$2:$C$101,MATCH($E276,销售员主数据!$A$2:$A$101,0)),"")</f>
        <v/>
      </c>
      <c r="H276" s="39">
        <f>IFERROR(INDEX(销售员主数据!$D$2:$D$101,MATCH($E276,销售员主数据!$A$2:$A$101,0)),"")</f>
        <v/>
      </c>
      <c r="I276" s="50" t="n"/>
      <c r="J276" s="50" t="n"/>
      <c r="K276" s="54" t="n"/>
      <c r="L276" s="55" t="n"/>
      <c r="M276" s="56" t="n"/>
      <c r="N276" s="57">
        <f>IF(COUNTBLANK(A276:L276)=12,"",1)</f>
        <v/>
      </c>
      <c r="O276" s="40" t="n"/>
    </row>
    <row r="277" ht="15" customHeight="1" s="34">
      <c r="A277" s="48" t="n"/>
      <c r="B277" s="41">
        <f>IF(A277="","",TEXT(A277,"mmm"))</f>
        <v/>
      </c>
      <c r="C277" s="41" t="n"/>
      <c r="D277" s="42" t="n"/>
      <c r="E277" s="41" t="n"/>
      <c r="F277" s="41">
        <f>IFERROR(INDEX(销售员主数据!$B$2:$B$101,MATCH($E277,销售员主数据!$A$2:$A$101,0)),"")</f>
        <v/>
      </c>
      <c r="G277" s="41">
        <f>IFERROR(INDEX(销售员主数据!$C$2:$C$101,MATCH($E277,销售员主数据!$A$2:$A$101,0)),"")</f>
        <v/>
      </c>
      <c r="H277" s="41">
        <f>IFERROR(INDEX(销售员主数据!$D$2:$D$101,MATCH($E277,销售员主数据!$A$2:$A$101,0)),"")</f>
        <v/>
      </c>
      <c r="I277" s="43" t="n"/>
      <c r="J277" s="43" t="n"/>
      <c r="K277" s="44" t="n"/>
      <c r="L277" s="58" t="n"/>
      <c r="M277" s="59" t="n"/>
      <c r="N277" s="60">
        <f>IF(COUNTBLANK(A277:L277)=12,"",1)</f>
        <v/>
      </c>
      <c r="O277" s="42" t="n"/>
    </row>
    <row r="278" ht="15" customHeight="1" s="34">
      <c r="A278" s="46" t="n"/>
      <c r="B278" s="39">
        <f>IF(A278="","",TEXT(A278,"mmm"))</f>
        <v/>
      </c>
      <c r="C278" s="39" t="n"/>
      <c r="D278" s="40" t="n"/>
      <c r="E278" s="39" t="n"/>
      <c r="F278" s="39">
        <f>IFERROR(INDEX(销售员主数据!$B$2:$B$101,MATCH($E278,销售员主数据!$A$2:$A$101,0)),"")</f>
        <v/>
      </c>
      <c r="G278" s="39">
        <f>IFERROR(INDEX(销售员主数据!$C$2:$C$101,MATCH($E278,销售员主数据!$A$2:$A$101,0)),"")</f>
        <v/>
      </c>
      <c r="H278" s="39">
        <f>IFERROR(INDEX(销售员主数据!$D$2:$D$101,MATCH($E278,销售员主数据!$A$2:$A$101,0)),"")</f>
        <v/>
      </c>
      <c r="I278" s="50" t="n"/>
      <c r="J278" s="50" t="n"/>
      <c r="K278" s="54" t="n"/>
      <c r="L278" s="55" t="n"/>
      <c r="M278" s="56" t="n"/>
      <c r="N278" s="57">
        <f>IF(COUNTBLANK(A278:L278)=12,"",1)</f>
        <v/>
      </c>
      <c r="O278" s="40" t="n"/>
    </row>
    <row r="279" ht="15" customHeight="1" s="34">
      <c r="A279" s="48" t="n"/>
      <c r="B279" s="41">
        <f>IF(A279="","",TEXT(A279,"mmm"))</f>
        <v/>
      </c>
      <c r="C279" s="41" t="n"/>
      <c r="D279" s="42" t="n"/>
      <c r="E279" s="41" t="n"/>
      <c r="F279" s="41">
        <f>IFERROR(INDEX(销售员主数据!$B$2:$B$101,MATCH($E279,销售员主数据!$A$2:$A$101,0)),"")</f>
        <v/>
      </c>
      <c r="G279" s="41">
        <f>IFERROR(INDEX(销售员主数据!$C$2:$C$101,MATCH($E279,销售员主数据!$A$2:$A$101,0)),"")</f>
        <v/>
      </c>
      <c r="H279" s="41">
        <f>IFERROR(INDEX(销售员主数据!$D$2:$D$101,MATCH($E279,销售员主数据!$A$2:$A$101,0)),"")</f>
        <v/>
      </c>
      <c r="I279" s="43" t="n"/>
      <c r="J279" s="43" t="n"/>
      <c r="K279" s="44" t="n"/>
      <c r="L279" s="58" t="n"/>
      <c r="M279" s="59" t="n"/>
      <c r="N279" s="60">
        <f>IF(COUNTBLANK(A279:L279)=12,"",1)</f>
        <v/>
      </c>
      <c r="O279" s="42" t="n"/>
    </row>
    <row r="280" ht="15" customHeight="1" s="34">
      <c r="A280" s="46" t="n"/>
      <c r="B280" s="39">
        <f>IF(A280="","",TEXT(A280,"mmm"))</f>
        <v/>
      </c>
      <c r="C280" s="39" t="n"/>
      <c r="D280" s="40" t="n"/>
      <c r="E280" s="39" t="n"/>
      <c r="F280" s="39">
        <f>IFERROR(INDEX(销售员主数据!$B$2:$B$101,MATCH($E280,销售员主数据!$A$2:$A$101,0)),"")</f>
        <v/>
      </c>
      <c r="G280" s="39">
        <f>IFERROR(INDEX(销售员主数据!$C$2:$C$101,MATCH($E280,销售员主数据!$A$2:$A$101,0)),"")</f>
        <v/>
      </c>
      <c r="H280" s="39">
        <f>IFERROR(INDEX(销售员主数据!$D$2:$D$101,MATCH($E280,销售员主数据!$A$2:$A$101,0)),"")</f>
        <v/>
      </c>
      <c r="I280" s="50" t="n"/>
      <c r="J280" s="50" t="n"/>
      <c r="K280" s="54" t="n"/>
      <c r="L280" s="55" t="n"/>
      <c r="M280" s="56" t="n"/>
      <c r="N280" s="57">
        <f>IF(COUNTBLANK(A280:L280)=12,"",1)</f>
        <v/>
      </c>
      <c r="O280" s="40" t="n"/>
    </row>
    <row r="281" ht="15" customHeight="1" s="34">
      <c r="A281" s="48" t="n"/>
      <c r="B281" s="41">
        <f>IF(A281="","",TEXT(A281,"mmm"))</f>
        <v/>
      </c>
      <c r="C281" s="41" t="n"/>
      <c r="D281" s="42" t="n"/>
      <c r="E281" s="41" t="n"/>
      <c r="F281" s="41">
        <f>IFERROR(INDEX(销售员主数据!$B$2:$B$101,MATCH($E281,销售员主数据!$A$2:$A$101,0)),"")</f>
        <v/>
      </c>
      <c r="G281" s="41">
        <f>IFERROR(INDEX(销售员主数据!$C$2:$C$101,MATCH($E281,销售员主数据!$A$2:$A$101,0)),"")</f>
        <v/>
      </c>
      <c r="H281" s="41">
        <f>IFERROR(INDEX(销售员主数据!$D$2:$D$101,MATCH($E281,销售员主数据!$A$2:$A$101,0)),"")</f>
        <v/>
      </c>
      <c r="I281" s="43" t="n"/>
      <c r="J281" s="43" t="n"/>
      <c r="K281" s="44" t="n"/>
      <c r="L281" s="58" t="n"/>
      <c r="M281" s="59" t="n"/>
      <c r="N281" s="60">
        <f>IF(COUNTBLANK(A281:L281)=12,"",1)</f>
        <v/>
      </c>
      <c r="O281" s="42" t="n"/>
    </row>
    <row r="282" ht="15" customHeight="1" s="34">
      <c r="A282" s="46" t="n"/>
      <c r="B282" s="39">
        <f>IF(A282="","",TEXT(A282,"mmm"))</f>
        <v/>
      </c>
      <c r="C282" s="39" t="n"/>
      <c r="D282" s="40" t="n"/>
      <c r="E282" s="39" t="n"/>
      <c r="F282" s="39">
        <f>IFERROR(INDEX(销售员主数据!$B$2:$B$101,MATCH($E282,销售员主数据!$A$2:$A$101,0)),"")</f>
        <v/>
      </c>
      <c r="G282" s="39">
        <f>IFERROR(INDEX(销售员主数据!$C$2:$C$101,MATCH($E282,销售员主数据!$A$2:$A$101,0)),"")</f>
        <v/>
      </c>
      <c r="H282" s="39">
        <f>IFERROR(INDEX(销售员主数据!$D$2:$D$101,MATCH($E282,销售员主数据!$A$2:$A$101,0)),"")</f>
        <v/>
      </c>
      <c r="I282" s="50" t="n"/>
      <c r="J282" s="50" t="n"/>
      <c r="K282" s="54" t="n"/>
      <c r="L282" s="55" t="n"/>
      <c r="M282" s="56" t="n"/>
      <c r="N282" s="57">
        <f>IF(COUNTBLANK(A282:L282)=12,"",1)</f>
        <v/>
      </c>
      <c r="O282" s="40" t="n"/>
    </row>
    <row r="283" ht="15" customHeight="1" s="34">
      <c r="A283" s="48" t="n"/>
      <c r="B283" s="41">
        <f>IF(A283="","",TEXT(A283,"mmm"))</f>
        <v/>
      </c>
      <c r="C283" s="41" t="n"/>
      <c r="D283" s="42" t="n"/>
      <c r="E283" s="41" t="n"/>
      <c r="F283" s="41">
        <f>IFERROR(INDEX(销售员主数据!$B$2:$B$101,MATCH($E283,销售员主数据!$A$2:$A$101,0)),"")</f>
        <v/>
      </c>
      <c r="G283" s="41">
        <f>IFERROR(INDEX(销售员主数据!$C$2:$C$101,MATCH($E283,销售员主数据!$A$2:$A$101,0)),"")</f>
        <v/>
      </c>
      <c r="H283" s="41">
        <f>IFERROR(INDEX(销售员主数据!$D$2:$D$101,MATCH($E283,销售员主数据!$A$2:$A$101,0)),"")</f>
        <v/>
      </c>
      <c r="I283" s="43" t="n"/>
      <c r="J283" s="43" t="n"/>
      <c r="K283" s="44" t="n"/>
      <c r="L283" s="58" t="n"/>
      <c r="M283" s="59" t="n"/>
      <c r="N283" s="60">
        <f>IF(COUNTBLANK(A283:L283)=12,"",1)</f>
        <v/>
      </c>
      <c r="O283" s="42" t="n"/>
    </row>
    <row r="284" ht="15" customHeight="1" s="34">
      <c r="A284" s="46" t="n"/>
      <c r="B284" s="39">
        <f>IF(A284="","",TEXT(A284,"mmm"))</f>
        <v/>
      </c>
      <c r="C284" s="39" t="n"/>
      <c r="D284" s="40" t="n"/>
      <c r="E284" s="39" t="n"/>
      <c r="F284" s="39">
        <f>IFERROR(INDEX(销售员主数据!$B$2:$B$101,MATCH($E284,销售员主数据!$A$2:$A$101,0)),"")</f>
        <v/>
      </c>
      <c r="G284" s="39">
        <f>IFERROR(INDEX(销售员主数据!$C$2:$C$101,MATCH($E284,销售员主数据!$A$2:$A$101,0)),"")</f>
        <v/>
      </c>
      <c r="H284" s="39">
        <f>IFERROR(INDEX(销售员主数据!$D$2:$D$101,MATCH($E284,销售员主数据!$A$2:$A$101,0)),"")</f>
        <v/>
      </c>
      <c r="I284" s="50" t="n"/>
      <c r="J284" s="50" t="n"/>
      <c r="K284" s="54" t="n"/>
      <c r="L284" s="55" t="n"/>
      <c r="M284" s="56" t="n"/>
      <c r="N284" s="57">
        <f>IF(COUNTBLANK(A284:L284)=12,"",1)</f>
        <v/>
      </c>
      <c r="O284" s="40" t="n"/>
    </row>
    <row r="285" ht="15" customHeight="1" s="34">
      <c r="A285" s="48" t="n"/>
      <c r="B285" s="41">
        <f>IF(A285="","",TEXT(A285,"mmm"))</f>
        <v/>
      </c>
      <c r="C285" s="41" t="n"/>
      <c r="D285" s="42" t="n"/>
      <c r="E285" s="41" t="n"/>
      <c r="F285" s="41">
        <f>IFERROR(INDEX(销售员主数据!$B$2:$B$101,MATCH($E285,销售员主数据!$A$2:$A$101,0)),"")</f>
        <v/>
      </c>
      <c r="G285" s="41">
        <f>IFERROR(INDEX(销售员主数据!$C$2:$C$101,MATCH($E285,销售员主数据!$A$2:$A$101,0)),"")</f>
        <v/>
      </c>
      <c r="H285" s="41">
        <f>IFERROR(INDEX(销售员主数据!$D$2:$D$101,MATCH($E285,销售员主数据!$A$2:$A$101,0)),"")</f>
        <v/>
      </c>
      <c r="I285" s="43" t="n"/>
      <c r="J285" s="43" t="n"/>
      <c r="K285" s="44" t="n"/>
      <c r="L285" s="58" t="n"/>
      <c r="M285" s="59" t="n"/>
      <c r="N285" s="60">
        <f>IF(COUNTBLANK(A285:L285)=12,"",1)</f>
        <v/>
      </c>
      <c r="O285" s="42" t="n"/>
    </row>
    <row r="286" ht="15" customHeight="1" s="34">
      <c r="A286" s="46" t="n"/>
      <c r="B286" s="39">
        <f>IF(A286="","",TEXT(A286,"mmm"))</f>
        <v/>
      </c>
      <c r="C286" s="39" t="n"/>
      <c r="D286" s="40" t="n"/>
      <c r="E286" s="39" t="n"/>
      <c r="F286" s="39">
        <f>IFERROR(INDEX(销售员主数据!$B$2:$B$101,MATCH($E286,销售员主数据!$A$2:$A$101,0)),"")</f>
        <v/>
      </c>
      <c r="G286" s="39">
        <f>IFERROR(INDEX(销售员主数据!$C$2:$C$101,MATCH($E286,销售员主数据!$A$2:$A$101,0)),"")</f>
        <v/>
      </c>
      <c r="H286" s="39">
        <f>IFERROR(INDEX(销售员主数据!$D$2:$D$101,MATCH($E286,销售员主数据!$A$2:$A$101,0)),"")</f>
        <v/>
      </c>
      <c r="I286" s="50" t="n"/>
      <c r="J286" s="50" t="n"/>
      <c r="K286" s="54" t="n"/>
      <c r="L286" s="55" t="n"/>
      <c r="M286" s="56" t="n"/>
      <c r="N286" s="57">
        <f>IF(COUNTBLANK(A286:L286)=12,"",1)</f>
        <v/>
      </c>
      <c r="O286" s="40" t="n"/>
    </row>
    <row r="287" ht="15" customHeight="1" s="34">
      <c r="A287" s="48" t="n"/>
      <c r="B287" s="41">
        <f>IF(A287="","",TEXT(A287,"mmm"))</f>
        <v/>
      </c>
      <c r="C287" s="41" t="n"/>
      <c r="D287" s="42" t="n"/>
      <c r="E287" s="41" t="n"/>
      <c r="F287" s="41">
        <f>IFERROR(INDEX(销售员主数据!$B$2:$B$101,MATCH($E287,销售员主数据!$A$2:$A$101,0)),"")</f>
        <v/>
      </c>
      <c r="G287" s="41">
        <f>IFERROR(INDEX(销售员主数据!$C$2:$C$101,MATCH($E287,销售员主数据!$A$2:$A$101,0)),"")</f>
        <v/>
      </c>
      <c r="H287" s="41">
        <f>IFERROR(INDEX(销售员主数据!$D$2:$D$101,MATCH($E287,销售员主数据!$A$2:$A$101,0)),"")</f>
        <v/>
      </c>
      <c r="I287" s="43" t="n"/>
      <c r="J287" s="43" t="n"/>
      <c r="K287" s="44" t="n"/>
      <c r="L287" s="58" t="n"/>
      <c r="M287" s="59" t="n"/>
      <c r="N287" s="60">
        <f>IF(COUNTBLANK(A287:L287)=12,"",1)</f>
        <v/>
      </c>
      <c r="O287" s="42" t="n"/>
    </row>
    <row r="288" ht="15" customHeight="1" s="34">
      <c r="A288" s="46" t="n"/>
      <c r="B288" s="39">
        <f>IF(A288="","",TEXT(A288,"mmm"))</f>
        <v/>
      </c>
      <c r="C288" s="39" t="n"/>
      <c r="D288" s="40" t="n"/>
      <c r="E288" s="39" t="n"/>
      <c r="F288" s="39">
        <f>IFERROR(INDEX(销售员主数据!$B$2:$B$101,MATCH($E288,销售员主数据!$A$2:$A$101,0)),"")</f>
        <v/>
      </c>
      <c r="G288" s="39">
        <f>IFERROR(INDEX(销售员主数据!$C$2:$C$101,MATCH($E288,销售员主数据!$A$2:$A$101,0)),"")</f>
        <v/>
      </c>
      <c r="H288" s="39">
        <f>IFERROR(INDEX(销售员主数据!$D$2:$D$101,MATCH($E288,销售员主数据!$A$2:$A$101,0)),"")</f>
        <v/>
      </c>
      <c r="I288" s="50" t="n"/>
      <c r="J288" s="50" t="n"/>
      <c r="K288" s="54" t="n"/>
      <c r="L288" s="55" t="n"/>
      <c r="M288" s="56" t="n"/>
      <c r="N288" s="57">
        <f>IF(COUNTBLANK(A288:L288)=12,"",1)</f>
        <v/>
      </c>
      <c r="O288" s="40" t="n"/>
    </row>
    <row r="289" ht="15" customHeight="1" s="34">
      <c r="A289" s="48" t="n"/>
      <c r="B289" s="41">
        <f>IF(A289="","",TEXT(A289,"mmm"))</f>
        <v/>
      </c>
      <c r="C289" s="41" t="n"/>
      <c r="D289" s="42" t="n"/>
      <c r="E289" s="41" t="n"/>
      <c r="F289" s="41">
        <f>IFERROR(INDEX(销售员主数据!$B$2:$B$101,MATCH($E289,销售员主数据!$A$2:$A$101,0)),"")</f>
        <v/>
      </c>
      <c r="G289" s="41">
        <f>IFERROR(INDEX(销售员主数据!$C$2:$C$101,MATCH($E289,销售员主数据!$A$2:$A$101,0)),"")</f>
        <v/>
      </c>
      <c r="H289" s="41">
        <f>IFERROR(INDEX(销售员主数据!$D$2:$D$101,MATCH($E289,销售员主数据!$A$2:$A$101,0)),"")</f>
        <v/>
      </c>
      <c r="I289" s="43" t="n"/>
      <c r="J289" s="43" t="n"/>
      <c r="K289" s="44" t="n"/>
      <c r="L289" s="58" t="n"/>
      <c r="M289" s="59" t="n"/>
      <c r="N289" s="60">
        <f>IF(COUNTBLANK(A289:L289)=12,"",1)</f>
        <v/>
      </c>
      <c r="O289" s="42" t="n"/>
    </row>
    <row r="290" ht="15" customHeight="1" s="34">
      <c r="A290" s="46" t="n"/>
      <c r="B290" s="39">
        <f>IF(A290="","",TEXT(A290,"mmm"))</f>
        <v/>
      </c>
      <c r="C290" s="39" t="n"/>
      <c r="D290" s="40" t="n"/>
      <c r="E290" s="39" t="n"/>
      <c r="F290" s="39">
        <f>IFERROR(INDEX(销售员主数据!$B$2:$B$101,MATCH($E290,销售员主数据!$A$2:$A$101,0)),"")</f>
        <v/>
      </c>
      <c r="G290" s="39">
        <f>IFERROR(INDEX(销售员主数据!$C$2:$C$101,MATCH($E290,销售员主数据!$A$2:$A$101,0)),"")</f>
        <v/>
      </c>
      <c r="H290" s="39">
        <f>IFERROR(INDEX(销售员主数据!$D$2:$D$101,MATCH($E290,销售员主数据!$A$2:$A$101,0)),"")</f>
        <v/>
      </c>
      <c r="I290" s="50" t="n"/>
      <c r="J290" s="50" t="n"/>
      <c r="K290" s="54" t="n"/>
      <c r="L290" s="55" t="n"/>
      <c r="M290" s="56" t="n"/>
      <c r="N290" s="57">
        <f>IF(COUNTBLANK(A290:L290)=12,"",1)</f>
        <v/>
      </c>
      <c r="O290" s="40" t="n"/>
    </row>
    <row r="291" ht="15" customHeight="1" s="34">
      <c r="A291" s="48" t="n"/>
      <c r="B291" s="41">
        <f>IF(A291="","",TEXT(A291,"mmm"))</f>
        <v/>
      </c>
      <c r="C291" s="41" t="n"/>
      <c r="D291" s="42" t="n"/>
      <c r="E291" s="41" t="n"/>
      <c r="F291" s="41">
        <f>IFERROR(INDEX(销售员主数据!$B$2:$B$101,MATCH($E291,销售员主数据!$A$2:$A$101,0)),"")</f>
        <v/>
      </c>
      <c r="G291" s="41">
        <f>IFERROR(INDEX(销售员主数据!$C$2:$C$101,MATCH($E291,销售员主数据!$A$2:$A$101,0)),"")</f>
        <v/>
      </c>
      <c r="H291" s="41">
        <f>IFERROR(INDEX(销售员主数据!$D$2:$D$101,MATCH($E291,销售员主数据!$A$2:$A$101,0)),"")</f>
        <v/>
      </c>
      <c r="I291" s="43" t="n"/>
      <c r="J291" s="43" t="n"/>
      <c r="K291" s="44" t="n"/>
      <c r="L291" s="58" t="n"/>
      <c r="M291" s="59" t="n"/>
      <c r="N291" s="60">
        <f>IF(COUNTBLANK(A291:L291)=12,"",1)</f>
        <v/>
      </c>
      <c r="O291" s="42" t="n"/>
    </row>
    <row r="292" ht="15" customHeight="1" s="34">
      <c r="A292" s="46" t="n"/>
      <c r="B292" s="39">
        <f>IF(A292="","",TEXT(A292,"mmm"))</f>
        <v/>
      </c>
      <c r="C292" s="39" t="n"/>
      <c r="D292" s="40" t="n"/>
      <c r="E292" s="39" t="n"/>
      <c r="F292" s="39">
        <f>IFERROR(INDEX(销售员主数据!$B$2:$B$101,MATCH($E292,销售员主数据!$A$2:$A$101,0)),"")</f>
        <v/>
      </c>
      <c r="G292" s="39">
        <f>IFERROR(INDEX(销售员主数据!$C$2:$C$101,MATCH($E292,销售员主数据!$A$2:$A$101,0)),"")</f>
        <v/>
      </c>
      <c r="H292" s="39">
        <f>IFERROR(INDEX(销售员主数据!$D$2:$D$101,MATCH($E292,销售员主数据!$A$2:$A$101,0)),"")</f>
        <v/>
      </c>
      <c r="I292" s="50" t="n"/>
      <c r="J292" s="50" t="n"/>
      <c r="K292" s="54" t="n"/>
      <c r="L292" s="55" t="n"/>
      <c r="M292" s="56" t="n"/>
      <c r="N292" s="57">
        <f>IF(COUNTBLANK(A292:L292)=12,"",1)</f>
        <v/>
      </c>
      <c r="O292" s="40" t="n"/>
    </row>
    <row r="293" ht="15" customHeight="1" s="34">
      <c r="A293" s="48" t="n"/>
      <c r="B293" s="41">
        <f>IF(A293="","",TEXT(A293,"mmm"))</f>
        <v/>
      </c>
      <c r="C293" s="41" t="n"/>
      <c r="D293" s="42" t="n"/>
      <c r="E293" s="41" t="n"/>
      <c r="F293" s="41">
        <f>IFERROR(INDEX(销售员主数据!$B$2:$B$101,MATCH($E293,销售员主数据!$A$2:$A$101,0)),"")</f>
        <v/>
      </c>
      <c r="G293" s="41">
        <f>IFERROR(INDEX(销售员主数据!$C$2:$C$101,MATCH($E293,销售员主数据!$A$2:$A$101,0)),"")</f>
        <v/>
      </c>
      <c r="H293" s="41">
        <f>IFERROR(INDEX(销售员主数据!$D$2:$D$101,MATCH($E293,销售员主数据!$A$2:$A$101,0)),"")</f>
        <v/>
      </c>
      <c r="I293" s="43" t="n"/>
      <c r="J293" s="43" t="n"/>
      <c r="K293" s="44" t="n"/>
      <c r="L293" s="58" t="n"/>
      <c r="M293" s="59" t="n"/>
      <c r="N293" s="60">
        <f>IF(COUNTBLANK(A293:L293)=12,"",1)</f>
        <v/>
      </c>
      <c r="O293" s="42" t="n"/>
    </row>
    <row r="294" ht="15" customHeight="1" s="34">
      <c r="A294" s="46" t="n"/>
      <c r="B294" s="39">
        <f>IF(A294="","",TEXT(A294,"mmm"))</f>
        <v/>
      </c>
      <c r="C294" s="39" t="n"/>
      <c r="D294" s="40" t="n"/>
      <c r="E294" s="39" t="n"/>
      <c r="F294" s="39">
        <f>IFERROR(INDEX(销售员主数据!$B$2:$B$101,MATCH($E294,销售员主数据!$A$2:$A$101,0)),"")</f>
        <v/>
      </c>
      <c r="G294" s="39">
        <f>IFERROR(INDEX(销售员主数据!$C$2:$C$101,MATCH($E294,销售员主数据!$A$2:$A$101,0)),"")</f>
        <v/>
      </c>
      <c r="H294" s="39">
        <f>IFERROR(INDEX(销售员主数据!$D$2:$D$101,MATCH($E294,销售员主数据!$A$2:$A$101,0)),"")</f>
        <v/>
      </c>
      <c r="I294" s="50" t="n"/>
      <c r="J294" s="50" t="n"/>
      <c r="K294" s="54" t="n"/>
      <c r="L294" s="55" t="n"/>
      <c r="M294" s="56" t="n"/>
      <c r="N294" s="57">
        <f>IF(COUNTBLANK(A294:L294)=12,"",1)</f>
        <v/>
      </c>
      <c r="O294" s="40" t="n"/>
    </row>
    <row r="295" ht="15" customHeight="1" s="34">
      <c r="A295" s="48" t="n"/>
      <c r="B295" s="41">
        <f>IF(A295="","",TEXT(A295,"mmm"))</f>
        <v/>
      </c>
      <c r="C295" s="41" t="n"/>
      <c r="D295" s="42" t="n"/>
      <c r="E295" s="41" t="n"/>
      <c r="F295" s="41">
        <f>IFERROR(INDEX(销售员主数据!$B$2:$B$101,MATCH($E295,销售员主数据!$A$2:$A$101,0)),"")</f>
        <v/>
      </c>
      <c r="G295" s="41">
        <f>IFERROR(INDEX(销售员主数据!$C$2:$C$101,MATCH($E295,销售员主数据!$A$2:$A$101,0)),"")</f>
        <v/>
      </c>
      <c r="H295" s="41">
        <f>IFERROR(INDEX(销售员主数据!$D$2:$D$101,MATCH($E295,销售员主数据!$A$2:$A$101,0)),"")</f>
        <v/>
      </c>
      <c r="I295" s="43" t="n"/>
      <c r="J295" s="43" t="n"/>
      <c r="K295" s="44" t="n"/>
      <c r="L295" s="58" t="n"/>
      <c r="M295" s="59" t="n"/>
      <c r="N295" s="60">
        <f>IF(COUNTBLANK(A295:L295)=12,"",1)</f>
        <v/>
      </c>
      <c r="O295" s="42" t="n"/>
    </row>
    <row r="296" ht="15" customHeight="1" s="34">
      <c r="A296" s="46" t="n"/>
      <c r="B296" s="39">
        <f>IF(A296="","",TEXT(A296,"mmm"))</f>
        <v/>
      </c>
      <c r="C296" s="39" t="n"/>
      <c r="D296" s="40" t="n"/>
      <c r="E296" s="39" t="n"/>
      <c r="F296" s="39">
        <f>IFERROR(INDEX(销售员主数据!$B$2:$B$101,MATCH($E296,销售员主数据!$A$2:$A$101,0)),"")</f>
        <v/>
      </c>
      <c r="G296" s="39">
        <f>IFERROR(INDEX(销售员主数据!$C$2:$C$101,MATCH($E296,销售员主数据!$A$2:$A$101,0)),"")</f>
        <v/>
      </c>
      <c r="H296" s="39">
        <f>IFERROR(INDEX(销售员主数据!$D$2:$D$101,MATCH($E296,销售员主数据!$A$2:$A$101,0)),"")</f>
        <v/>
      </c>
      <c r="I296" s="50" t="n"/>
      <c r="J296" s="50" t="n"/>
      <c r="K296" s="54" t="n"/>
      <c r="L296" s="55" t="n"/>
      <c r="M296" s="56" t="n"/>
      <c r="N296" s="57">
        <f>IF(COUNTBLANK(A296:L296)=12,"",1)</f>
        <v/>
      </c>
      <c r="O296" s="40" t="n"/>
    </row>
    <row r="297" ht="15" customHeight="1" s="34">
      <c r="A297" s="48" t="n"/>
      <c r="B297" s="41">
        <f>IF(A297="","",TEXT(A297,"mmm"))</f>
        <v/>
      </c>
      <c r="C297" s="41" t="n"/>
      <c r="D297" s="42" t="n"/>
      <c r="E297" s="41" t="n"/>
      <c r="F297" s="41">
        <f>IFERROR(INDEX(销售员主数据!$B$2:$B$101,MATCH($E297,销售员主数据!$A$2:$A$101,0)),"")</f>
        <v/>
      </c>
      <c r="G297" s="41">
        <f>IFERROR(INDEX(销售员主数据!$C$2:$C$101,MATCH($E297,销售员主数据!$A$2:$A$101,0)),"")</f>
        <v/>
      </c>
      <c r="H297" s="41">
        <f>IFERROR(INDEX(销售员主数据!$D$2:$D$101,MATCH($E297,销售员主数据!$A$2:$A$101,0)),"")</f>
        <v/>
      </c>
      <c r="I297" s="43" t="n"/>
      <c r="J297" s="43" t="n"/>
      <c r="K297" s="44" t="n"/>
      <c r="L297" s="58" t="n"/>
      <c r="M297" s="59" t="n"/>
      <c r="N297" s="60">
        <f>IF(COUNTBLANK(A297:L297)=12,"",1)</f>
        <v/>
      </c>
      <c r="O297" s="42" t="n"/>
    </row>
    <row r="298" ht="15" customHeight="1" s="34">
      <c r="A298" s="46" t="n"/>
      <c r="B298" s="39">
        <f>IF(A298="","",TEXT(A298,"mmm"))</f>
        <v/>
      </c>
      <c r="C298" s="39" t="n"/>
      <c r="D298" s="40" t="n"/>
      <c r="E298" s="39" t="n"/>
      <c r="F298" s="39">
        <f>IFERROR(INDEX(销售员主数据!$B$2:$B$101,MATCH($E298,销售员主数据!$A$2:$A$101,0)),"")</f>
        <v/>
      </c>
      <c r="G298" s="39">
        <f>IFERROR(INDEX(销售员主数据!$C$2:$C$101,MATCH($E298,销售员主数据!$A$2:$A$101,0)),"")</f>
        <v/>
      </c>
      <c r="H298" s="39">
        <f>IFERROR(INDEX(销售员主数据!$D$2:$D$101,MATCH($E298,销售员主数据!$A$2:$A$101,0)),"")</f>
        <v/>
      </c>
      <c r="I298" s="50" t="n"/>
      <c r="J298" s="50" t="n"/>
      <c r="K298" s="54" t="n"/>
      <c r="L298" s="55" t="n"/>
      <c r="M298" s="56" t="n"/>
      <c r="N298" s="57">
        <f>IF(COUNTBLANK(A298:L298)=12,"",1)</f>
        <v/>
      </c>
      <c r="O298" s="40" t="n"/>
    </row>
    <row r="299" ht="15" customHeight="1" s="34">
      <c r="A299" s="48" t="n"/>
      <c r="B299" s="41">
        <f>IF(A299="","",TEXT(A299,"mmm"))</f>
        <v/>
      </c>
      <c r="C299" s="41" t="n"/>
      <c r="D299" s="42" t="n"/>
      <c r="E299" s="41" t="n"/>
      <c r="F299" s="41">
        <f>IFERROR(INDEX(销售员主数据!$B$2:$B$101,MATCH($E299,销售员主数据!$A$2:$A$101,0)),"")</f>
        <v/>
      </c>
      <c r="G299" s="41">
        <f>IFERROR(INDEX(销售员主数据!$C$2:$C$101,MATCH($E299,销售员主数据!$A$2:$A$101,0)),"")</f>
        <v/>
      </c>
      <c r="H299" s="41">
        <f>IFERROR(INDEX(销售员主数据!$D$2:$D$101,MATCH($E299,销售员主数据!$A$2:$A$101,0)),"")</f>
        <v/>
      </c>
      <c r="I299" s="43" t="n"/>
      <c r="J299" s="43" t="n"/>
      <c r="K299" s="44" t="n"/>
      <c r="L299" s="58" t="n"/>
      <c r="M299" s="59" t="n"/>
      <c r="N299" s="60">
        <f>IF(COUNTBLANK(A299:L299)=12,"",1)</f>
        <v/>
      </c>
      <c r="O299" s="42" t="n"/>
    </row>
    <row r="300" ht="15" customHeight="1" s="34">
      <c r="A300" s="46" t="n"/>
      <c r="B300" s="39">
        <f>IF(A300="","",TEXT(A300,"mmm"))</f>
        <v/>
      </c>
      <c r="C300" s="39" t="n"/>
      <c r="D300" s="40" t="n"/>
      <c r="E300" s="39" t="n"/>
      <c r="F300" s="39">
        <f>IFERROR(INDEX(销售员主数据!$B$2:$B$101,MATCH($E300,销售员主数据!$A$2:$A$101,0)),"")</f>
        <v/>
      </c>
      <c r="G300" s="39">
        <f>IFERROR(INDEX(销售员主数据!$C$2:$C$101,MATCH($E300,销售员主数据!$A$2:$A$101,0)),"")</f>
        <v/>
      </c>
      <c r="H300" s="39">
        <f>IFERROR(INDEX(销售员主数据!$D$2:$D$101,MATCH($E300,销售员主数据!$A$2:$A$101,0)),"")</f>
        <v/>
      </c>
      <c r="I300" s="50" t="n"/>
      <c r="J300" s="50" t="n"/>
      <c r="K300" s="54" t="n"/>
      <c r="L300" s="55" t="n"/>
      <c r="M300" s="56" t="n"/>
      <c r="N300" s="57">
        <f>IF(COUNTBLANK(A300:L300)=12,"",1)</f>
        <v/>
      </c>
      <c r="O300" s="40" t="n"/>
    </row>
    <row r="301" ht="15" customHeight="1" s="34">
      <c r="A301" s="48" t="n"/>
      <c r="B301" s="41">
        <f>IF(A301="","",TEXT(A301,"mmm"))</f>
        <v/>
      </c>
      <c r="C301" s="41" t="n"/>
      <c r="D301" s="42" t="n"/>
      <c r="E301" s="41" t="n"/>
      <c r="F301" s="41">
        <f>IFERROR(INDEX(销售员主数据!$B$2:$B$101,MATCH($E301,销售员主数据!$A$2:$A$101,0)),"")</f>
        <v/>
      </c>
      <c r="G301" s="41">
        <f>IFERROR(INDEX(销售员主数据!$C$2:$C$101,MATCH($E301,销售员主数据!$A$2:$A$101,0)),"")</f>
        <v/>
      </c>
      <c r="H301" s="41">
        <f>IFERROR(INDEX(销售员主数据!$D$2:$D$101,MATCH($E301,销售员主数据!$A$2:$A$101,0)),"")</f>
        <v/>
      </c>
      <c r="I301" s="43" t="n"/>
      <c r="J301" s="43" t="n"/>
      <c r="K301" s="44" t="n"/>
      <c r="L301" s="58" t="n"/>
      <c r="M301" s="59" t="n"/>
      <c r="N301" s="60">
        <f>IF(COUNTBLANK(A301:L301)=12,"",1)</f>
        <v/>
      </c>
      <c r="O301" s="42" t="n"/>
    </row>
    <row r="302" ht="15" customHeight="1" s="34">
      <c r="A302" s="46" t="n"/>
      <c r="B302" s="39">
        <f>IF(A302="","",TEXT(A302,"mmm"))</f>
        <v/>
      </c>
      <c r="C302" s="39" t="n"/>
      <c r="D302" s="40" t="n"/>
      <c r="E302" s="39" t="n"/>
      <c r="F302" s="39">
        <f>IFERROR(INDEX(销售员主数据!$B$2:$B$101,MATCH($E302,销售员主数据!$A$2:$A$101,0)),"")</f>
        <v/>
      </c>
      <c r="G302" s="39">
        <f>IFERROR(INDEX(销售员主数据!$C$2:$C$101,MATCH($E302,销售员主数据!$A$2:$A$101,0)),"")</f>
        <v/>
      </c>
      <c r="H302" s="39">
        <f>IFERROR(INDEX(销售员主数据!$D$2:$D$101,MATCH($E302,销售员主数据!$A$2:$A$101,0)),"")</f>
        <v/>
      </c>
      <c r="I302" s="50" t="n"/>
      <c r="J302" s="50" t="n"/>
      <c r="K302" s="54" t="n"/>
      <c r="L302" s="55" t="n"/>
      <c r="M302" s="56" t="n"/>
      <c r="N302" s="57">
        <f>IF(COUNTBLANK(A302:L302)=12,"",1)</f>
        <v/>
      </c>
      <c r="O302" s="40" t="n"/>
    </row>
    <row r="303" ht="15" customHeight="1" s="34">
      <c r="A303" s="48" t="n"/>
      <c r="B303" s="41">
        <f>IF(A303="","",TEXT(A303,"mmm"))</f>
        <v/>
      </c>
      <c r="C303" s="41" t="n"/>
      <c r="D303" s="42" t="n"/>
      <c r="E303" s="41" t="n"/>
      <c r="F303" s="41">
        <f>IFERROR(INDEX(销售员主数据!$B$2:$B$101,MATCH($E303,销售员主数据!$A$2:$A$101,0)),"")</f>
        <v/>
      </c>
      <c r="G303" s="41">
        <f>IFERROR(INDEX(销售员主数据!$C$2:$C$101,MATCH($E303,销售员主数据!$A$2:$A$101,0)),"")</f>
        <v/>
      </c>
      <c r="H303" s="41">
        <f>IFERROR(INDEX(销售员主数据!$D$2:$D$101,MATCH($E303,销售员主数据!$A$2:$A$101,0)),"")</f>
        <v/>
      </c>
      <c r="I303" s="43" t="n"/>
      <c r="J303" s="43" t="n"/>
      <c r="K303" s="44" t="n"/>
      <c r="L303" s="58" t="n"/>
      <c r="M303" s="59" t="n"/>
      <c r="N303" s="60">
        <f>IF(COUNTBLANK(A303:L303)=12,"",1)</f>
        <v/>
      </c>
      <c r="O303" s="42" t="n"/>
    </row>
    <row r="304" ht="15" customHeight="1" s="34">
      <c r="A304" s="46" t="n"/>
      <c r="B304" s="39">
        <f>IF(A304="","",TEXT(A304,"mmm"))</f>
        <v/>
      </c>
      <c r="C304" s="39" t="n"/>
      <c r="D304" s="40" t="n"/>
      <c r="E304" s="39" t="n"/>
      <c r="F304" s="39">
        <f>IFERROR(INDEX(销售员主数据!$B$2:$B$101,MATCH($E304,销售员主数据!$A$2:$A$101,0)),"")</f>
        <v/>
      </c>
      <c r="G304" s="39">
        <f>IFERROR(INDEX(销售员主数据!$C$2:$C$101,MATCH($E304,销售员主数据!$A$2:$A$101,0)),"")</f>
        <v/>
      </c>
      <c r="H304" s="39">
        <f>IFERROR(INDEX(销售员主数据!$D$2:$D$101,MATCH($E304,销售员主数据!$A$2:$A$101,0)),"")</f>
        <v/>
      </c>
      <c r="I304" s="50" t="n"/>
      <c r="J304" s="50" t="n"/>
      <c r="K304" s="54" t="n"/>
      <c r="L304" s="55" t="n"/>
      <c r="M304" s="56" t="n"/>
      <c r="N304" s="57">
        <f>IF(COUNTBLANK(A304:L304)=12,"",1)</f>
        <v/>
      </c>
      <c r="O304" s="40" t="n"/>
    </row>
    <row r="305" ht="15" customHeight="1" s="34">
      <c r="A305" s="48" t="n"/>
      <c r="B305" s="41">
        <f>IF(A305="","",TEXT(A305,"mmm"))</f>
        <v/>
      </c>
      <c r="C305" s="41" t="n"/>
      <c r="D305" s="42" t="n"/>
      <c r="E305" s="41" t="n"/>
      <c r="F305" s="41">
        <f>IFERROR(INDEX(销售员主数据!$B$2:$B$101,MATCH($E305,销售员主数据!$A$2:$A$101,0)),"")</f>
        <v/>
      </c>
      <c r="G305" s="41">
        <f>IFERROR(INDEX(销售员主数据!$C$2:$C$101,MATCH($E305,销售员主数据!$A$2:$A$101,0)),"")</f>
        <v/>
      </c>
      <c r="H305" s="41">
        <f>IFERROR(INDEX(销售员主数据!$D$2:$D$101,MATCH($E305,销售员主数据!$A$2:$A$101,0)),"")</f>
        <v/>
      </c>
      <c r="I305" s="43" t="n"/>
      <c r="J305" s="43" t="n"/>
      <c r="K305" s="44" t="n"/>
      <c r="L305" s="58" t="n"/>
      <c r="M305" s="59" t="n"/>
      <c r="N305" s="60">
        <f>IF(COUNTBLANK(A305:L305)=12,"",1)</f>
        <v/>
      </c>
      <c r="O305" s="42" t="n"/>
    </row>
    <row r="306" ht="15" customHeight="1" s="34">
      <c r="A306" s="46" t="n"/>
      <c r="B306" s="39">
        <f>IF(A306="","",TEXT(A306,"mmm"))</f>
        <v/>
      </c>
      <c r="C306" s="39" t="n"/>
      <c r="D306" s="40" t="n"/>
      <c r="E306" s="39" t="n"/>
      <c r="F306" s="39">
        <f>IFERROR(INDEX(销售员主数据!$B$2:$B$101,MATCH($E306,销售员主数据!$A$2:$A$101,0)),"")</f>
        <v/>
      </c>
      <c r="G306" s="39">
        <f>IFERROR(INDEX(销售员主数据!$C$2:$C$101,MATCH($E306,销售员主数据!$A$2:$A$101,0)),"")</f>
        <v/>
      </c>
      <c r="H306" s="39">
        <f>IFERROR(INDEX(销售员主数据!$D$2:$D$101,MATCH($E306,销售员主数据!$A$2:$A$101,0)),"")</f>
        <v/>
      </c>
      <c r="I306" s="50" t="n"/>
      <c r="J306" s="50" t="n"/>
      <c r="K306" s="54" t="n"/>
      <c r="L306" s="55" t="n"/>
      <c r="M306" s="56" t="n"/>
      <c r="N306" s="57">
        <f>IF(COUNTBLANK(A306:L306)=12,"",1)</f>
        <v/>
      </c>
      <c r="O306" s="40" t="n"/>
    </row>
    <row r="307" ht="15" customHeight="1" s="34">
      <c r="A307" s="48" t="n"/>
      <c r="B307" s="41">
        <f>IF(A307="","",TEXT(A307,"mmm"))</f>
        <v/>
      </c>
      <c r="C307" s="41" t="n"/>
      <c r="D307" s="42" t="n"/>
      <c r="E307" s="41" t="n"/>
      <c r="F307" s="41">
        <f>IFERROR(INDEX(销售员主数据!$B$2:$B$101,MATCH($E307,销售员主数据!$A$2:$A$101,0)),"")</f>
        <v/>
      </c>
      <c r="G307" s="41">
        <f>IFERROR(INDEX(销售员主数据!$C$2:$C$101,MATCH($E307,销售员主数据!$A$2:$A$101,0)),"")</f>
        <v/>
      </c>
      <c r="H307" s="41">
        <f>IFERROR(INDEX(销售员主数据!$D$2:$D$101,MATCH($E307,销售员主数据!$A$2:$A$101,0)),"")</f>
        <v/>
      </c>
      <c r="I307" s="43" t="n"/>
      <c r="J307" s="43" t="n"/>
      <c r="K307" s="44" t="n"/>
      <c r="L307" s="58" t="n"/>
      <c r="M307" s="59" t="n"/>
      <c r="N307" s="60">
        <f>IF(COUNTBLANK(A307:L307)=12,"",1)</f>
        <v/>
      </c>
      <c r="O307" s="42" t="n"/>
    </row>
    <row r="308" ht="15" customHeight="1" s="34">
      <c r="A308" s="46" t="n"/>
      <c r="B308" s="39">
        <f>IF(A308="","",TEXT(A308,"mmm"))</f>
        <v/>
      </c>
      <c r="C308" s="39" t="n"/>
      <c r="D308" s="40" t="n"/>
      <c r="E308" s="39" t="n"/>
      <c r="F308" s="39">
        <f>IFERROR(INDEX(销售员主数据!$B$2:$B$101,MATCH($E308,销售员主数据!$A$2:$A$101,0)),"")</f>
        <v/>
      </c>
      <c r="G308" s="39">
        <f>IFERROR(INDEX(销售员主数据!$C$2:$C$101,MATCH($E308,销售员主数据!$A$2:$A$101,0)),"")</f>
        <v/>
      </c>
      <c r="H308" s="39">
        <f>IFERROR(INDEX(销售员主数据!$D$2:$D$101,MATCH($E308,销售员主数据!$A$2:$A$101,0)),"")</f>
        <v/>
      </c>
      <c r="I308" s="50" t="n"/>
      <c r="J308" s="50" t="n"/>
      <c r="K308" s="54" t="n"/>
      <c r="L308" s="55" t="n"/>
      <c r="M308" s="56" t="n"/>
      <c r="N308" s="57">
        <f>IF(COUNTBLANK(A308:L308)=12,"",1)</f>
        <v/>
      </c>
      <c r="O308" s="40" t="n"/>
    </row>
    <row r="309" ht="15" customHeight="1" s="34">
      <c r="A309" s="48" t="n"/>
      <c r="B309" s="41">
        <f>IF(A309="","",TEXT(A309,"mmm"))</f>
        <v/>
      </c>
      <c r="C309" s="41" t="n"/>
      <c r="D309" s="42" t="n"/>
      <c r="E309" s="41" t="n"/>
      <c r="F309" s="41">
        <f>IFERROR(INDEX(销售员主数据!$B$2:$B$101,MATCH($E309,销售员主数据!$A$2:$A$101,0)),"")</f>
        <v/>
      </c>
      <c r="G309" s="41">
        <f>IFERROR(INDEX(销售员主数据!$C$2:$C$101,MATCH($E309,销售员主数据!$A$2:$A$101,0)),"")</f>
        <v/>
      </c>
      <c r="H309" s="41">
        <f>IFERROR(INDEX(销售员主数据!$D$2:$D$101,MATCH($E309,销售员主数据!$A$2:$A$101,0)),"")</f>
        <v/>
      </c>
      <c r="I309" s="43" t="n"/>
      <c r="J309" s="43" t="n"/>
      <c r="K309" s="44" t="n"/>
      <c r="L309" s="58" t="n"/>
      <c r="M309" s="59" t="n"/>
      <c r="N309" s="60">
        <f>IF(COUNTBLANK(A309:L309)=12,"",1)</f>
        <v/>
      </c>
      <c r="O309" s="42" t="n"/>
    </row>
    <row r="310" ht="15" customHeight="1" s="34">
      <c r="A310" s="46" t="n"/>
      <c r="B310" s="39">
        <f>IF(A310="","",TEXT(A310,"mmm"))</f>
        <v/>
      </c>
      <c r="C310" s="39" t="n"/>
      <c r="D310" s="40" t="n"/>
      <c r="E310" s="39" t="n"/>
      <c r="F310" s="39">
        <f>IFERROR(INDEX(销售员主数据!$B$2:$B$101,MATCH($E310,销售员主数据!$A$2:$A$101,0)),"")</f>
        <v/>
      </c>
      <c r="G310" s="39">
        <f>IFERROR(INDEX(销售员主数据!$C$2:$C$101,MATCH($E310,销售员主数据!$A$2:$A$101,0)),"")</f>
        <v/>
      </c>
      <c r="H310" s="39">
        <f>IFERROR(INDEX(销售员主数据!$D$2:$D$101,MATCH($E310,销售员主数据!$A$2:$A$101,0)),"")</f>
        <v/>
      </c>
      <c r="I310" s="50" t="n"/>
      <c r="J310" s="50" t="n"/>
      <c r="K310" s="54" t="n"/>
      <c r="L310" s="55" t="n"/>
      <c r="M310" s="56" t="n"/>
      <c r="N310" s="57">
        <f>IF(COUNTBLANK(A310:L310)=12,"",1)</f>
        <v/>
      </c>
      <c r="O310" s="40" t="n"/>
    </row>
    <row r="311" ht="15" customHeight="1" s="34">
      <c r="A311" s="48" t="n"/>
      <c r="B311" s="41">
        <f>IF(A311="","",TEXT(A311,"mmm"))</f>
        <v/>
      </c>
      <c r="C311" s="41" t="n"/>
      <c r="D311" s="42" t="n"/>
      <c r="E311" s="41" t="n"/>
      <c r="F311" s="41">
        <f>IFERROR(INDEX(销售员主数据!$B$2:$B$101,MATCH($E311,销售员主数据!$A$2:$A$101,0)),"")</f>
        <v/>
      </c>
      <c r="G311" s="41">
        <f>IFERROR(INDEX(销售员主数据!$C$2:$C$101,MATCH($E311,销售员主数据!$A$2:$A$101,0)),"")</f>
        <v/>
      </c>
      <c r="H311" s="41">
        <f>IFERROR(INDEX(销售员主数据!$D$2:$D$101,MATCH($E311,销售员主数据!$A$2:$A$101,0)),"")</f>
        <v/>
      </c>
      <c r="I311" s="43" t="n"/>
      <c r="J311" s="43" t="n"/>
      <c r="K311" s="44" t="n"/>
      <c r="L311" s="58" t="n"/>
      <c r="M311" s="59" t="n"/>
      <c r="N311" s="60">
        <f>IF(COUNTBLANK(A311:L311)=12,"",1)</f>
        <v/>
      </c>
      <c r="O311" s="42" t="n"/>
    </row>
    <row r="312" ht="15" customHeight="1" s="34">
      <c r="A312" s="46" t="n"/>
      <c r="B312" s="39">
        <f>IF(A312="","",TEXT(A312,"mmm"))</f>
        <v/>
      </c>
      <c r="C312" s="39" t="n"/>
      <c r="D312" s="40" t="n"/>
      <c r="E312" s="39" t="n"/>
      <c r="F312" s="39">
        <f>IFERROR(INDEX(销售员主数据!$B$2:$B$101,MATCH($E312,销售员主数据!$A$2:$A$101,0)),"")</f>
        <v/>
      </c>
      <c r="G312" s="39">
        <f>IFERROR(INDEX(销售员主数据!$C$2:$C$101,MATCH($E312,销售员主数据!$A$2:$A$101,0)),"")</f>
        <v/>
      </c>
      <c r="H312" s="39">
        <f>IFERROR(INDEX(销售员主数据!$D$2:$D$101,MATCH($E312,销售员主数据!$A$2:$A$101,0)),"")</f>
        <v/>
      </c>
      <c r="I312" s="50" t="n"/>
      <c r="J312" s="50" t="n"/>
      <c r="K312" s="54" t="n"/>
      <c r="L312" s="55" t="n"/>
      <c r="M312" s="56" t="n"/>
      <c r="N312" s="57">
        <f>IF(COUNTBLANK(A312:L312)=12,"",1)</f>
        <v/>
      </c>
      <c r="O312" s="40" t="n"/>
    </row>
    <row r="313" ht="15" customHeight="1" s="34">
      <c r="A313" s="48" t="n"/>
      <c r="B313" s="41">
        <f>IF(A313="","",TEXT(A313,"mmm"))</f>
        <v/>
      </c>
      <c r="C313" s="41" t="n"/>
      <c r="D313" s="42" t="n"/>
      <c r="E313" s="41" t="n"/>
      <c r="F313" s="41">
        <f>IFERROR(INDEX(销售员主数据!$B$2:$B$101,MATCH($E313,销售员主数据!$A$2:$A$101,0)),"")</f>
        <v/>
      </c>
      <c r="G313" s="41">
        <f>IFERROR(INDEX(销售员主数据!$C$2:$C$101,MATCH($E313,销售员主数据!$A$2:$A$101,0)),"")</f>
        <v/>
      </c>
      <c r="H313" s="41">
        <f>IFERROR(INDEX(销售员主数据!$D$2:$D$101,MATCH($E313,销售员主数据!$A$2:$A$101,0)),"")</f>
        <v/>
      </c>
      <c r="I313" s="43" t="n"/>
      <c r="J313" s="43" t="n"/>
      <c r="K313" s="44" t="n"/>
      <c r="L313" s="58" t="n"/>
      <c r="M313" s="59" t="n"/>
      <c r="N313" s="60">
        <f>IF(COUNTBLANK(A313:L313)=12,"",1)</f>
        <v/>
      </c>
      <c r="O313" s="42" t="n"/>
    </row>
    <row r="314" ht="15" customHeight="1" s="34">
      <c r="A314" s="46" t="n"/>
      <c r="B314" s="39">
        <f>IF(A314="","",TEXT(A314,"mmm"))</f>
        <v/>
      </c>
      <c r="C314" s="39" t="n"/>
      <c r="D314" s="40" t="n"/>
      <c r="E314" s="39" t="n"/>
      <c r="F314" s="39">
        <f>IFERROR(INDEX(销售员主数据!$B$2:$B$101,MATCH($E314,销售员主数据!$A$2:$A$101,0)),"")</f>
        <v/>
      </c>
      <c r="G314" s="39">
        <f>IFERROR(INDEX(销售员主数据!$C$2:$C$101,MATCH($E314,销售员主数据!$A$2:$A$101,0)),"")</f>
        <v/>
      </c>
      <c r="H314" s="39">
        <f>IFERROR(INDEX(销售员主数据!$D$2:$D$101,MATCH($E314,销售员主数据!$A$2:$A$101,0)),"")</f>
        <v/>
      </c>
      <c r="I314" s="50" t="n"/>
      <c r="J314" s="50" t="n"/>
      <c r="K314" s="54" t="n"/>
      <c r="L314" s="55" t="n"/>
      <c r="M314" s="56" t="n"/>
      <c r="N314" s="57">
        <f>IF(COUNTBLANK(A314:L314)=12,"",1)</f>
        <v/>
      </c>
      <c r="O314" s="40" t="n"/>
    </row>
    <row r="315" ht="15" customHeight="1" s="34">
      <c r="A315" s="48" t="n"/>
      <c r="B315" s="41">
        <f>IF(A315="","",TEXT(A315,"mmm"))</f>
        <v/>
      </c>
      <c r="C315" s="41" t="n"/>
      <c r="D315" s="42" t="n"/>
      <c r="E315" s="41" t="n"/>
      <c r="F315" s="41">
        <f>IFERROR(INDEX(销售员主数据!$B$2:$B$101,MATCH($E315,销售员主数据!$A$2:$A$101,0)),"")</f>
        <v/>
      </c>
      <c r="G315" s="41">
        <f>IFERROR(INDEX(销售员主数据!$C$2:$C$101,MATCH($E315,销售员主数据!$A$2:$A$101,0)),"")</f>
        <v/>
      </c>
      <c r="H315" s="41">
        <f>IFERROR(INDEX(销售员主数据!$D$2:$D$101,MATCH($E315,销售员主数据!$A$2:$A$101,0)),"")</f>
        <v/>
      </c>
      <c r="I315" s="43" t="n"/>
      <c r="J315" s="43" t="n"/>
      <c r="K315" s="44" t="n"/>
      <c r="L315" s="58" t="n"/>
      <c r="M315" s="59" t="n"/>
      <c r="N315" s="60">
        <f>IF(COUNTBLANK(A315:L315)=12,"",1)</f>
        <v/>
      </c>
      <c r="O315" s="42" t="n"/>
    </row>
    <row r="316" ht="15" customHeight="1" s="34">
      <c r="A316" s="46" t="n"/>
      <c r="B316" s="39">
        <f>IF(A316="","",TEXT(A316,"mmm"))</f>
        <v/>
      </c>
      <c r="C316" s="39" t="n"/>
      <c r="D316" s="40" t="n"/>
      <c r="E316" s="39" t="n"/>
      <c r="F316" s="39">
        <f>IFERROR(INDEX(销售员主数据!$B$2:$B$101,MATCH($E316,销售员主数据!$A$2:$A$101,0)),"")</f>
        <v/>
      </c>
      <c r="G316" s="39">
        <f>IFERROR(INDEX(销售员主数据!$C$2:$C$101,MATCH($E316,销售员主数据!$A$2:$A$101,0)),"")</f>
        <v/>
      </c>
      <c r="H316" s="39">
        <f>IFERROR(INDEX(销售员主数据!$D$2:$D$101,MATCH($E316,销售员主数据!$A$2:$A$101,0)),"")</f>
        <v/>
      </c>
      <c r="I316" s="50" t="n"/>
      <c r="J316" s="50" t="n"/>
      <c r="K316" s="54" t="n"/>
      <c r="L316" s="55" t="n"/>
      <c r="M316" s="56" t="n"/>
      <c r="N316" s="57">
        <f>IF(COUNTBLANK(A316:L316)=12,"",1)</f>
        <v/>
      </c>
      <c r="O316" s="40" t="n"/>
    </row>
    <row r="317" ht="15" customHeight="1" s="34">
      <c r="A317" s="48" t="n"/>
      <c r="B317" s="41">
        <f>IF(A317="","",TEXT(A317,"mmm"))</f>
        <v/>
      </c>
      <c r="C317" s="41" t="n"/>
      <c r="D317" s="42" t="n"/>
      <c r="E317" s="41" t="n"/>
      <c r="F317" s="41">
        <f>IFERROR(INDEX(销售员主数据!$B$2:$B$101,MATCH($E317,销售员主数据!$A$2:$A$101,0)),"")</f>
        <v/>
      </c>
      <c r="G317" s="41">
        <f>IFERROR(INDEX(销售员主数据!$C$2:$C$101,MATCH($E317,销售员主数据!$A$2:$A$101,0)),"")</f>
        <v/>
      </c>
      <c r="H317" s="41">
        <f>IFERROR(INDEX(销售员主数据!$D$2:$D$101,MATCH($E317,销售员主数据!$A$2:$A$101,0)),"")</f>
        <v/>
      </c>
      <c r="I317" s="43" t="n"/>
      <c r="J317" s="43" t="n"/>
      <c r="K317" s="44" t="n"/>
      <c r="L317" s="58" t="n"/>
      <c r="M317" s="59" t="n"/>
      <c r="N317" s="60">
        <f>IF(COUNTBLANK(A317:L317)=12,"",1)</f>
        <v/>
      </c>
      <c r="O317" s="42" t="n"/>
    </row>
    <row r="318" ht="15" customHeight="1" s="34">
      <c r="A318" s="46" t="n"/>
      <c r="B318" s="39">
        <f>IF(A318="","",TEXT(A318,"mmm"))</f>
        <v/>
      </c>
      <c r="C318" s="39" t="n"/>
      <c r="D318" s="40" t="n"/>
      <c r="E318" s="39" t="n"/>
      <c r="F318" s="39">
        <f>IFERROR(INDEX(销售员主数据!$B$2:$B$101,MATCH($E318,销售员主数据!$A$2:$A$101,0)),"")</f>
        <v/>
      </c>
      <c r="G318" s="39">
        <f>IFERROR(INDEX(销售员主数据!$C$2:$C$101,MATCH($E318,销售员主数据!$A$2:$A$101,0)),"")</f>
        <v/>
      </c>
      <c r="H318" s="39">
        <f>IFERROR(INDEX(销售员主数据!$D$2:$D$101,MATCH($E318,销售员主数据!$A$2:$A$101,0)),"")</f>
        <v/>
      </c>
      <c r="I318" s="50" t="n"/>
      <c r="J318" s="50" t="n"/>
      <c r="K318" s="54" t="n"/>
      <c r="L318" s="55" t="n"/>
      <c r="M318" s="56" t="n"/>
      <c r="N318" s="57">
        <f>IF(COUNTBLANK(A318:L318)=12,"",1)</f>
        <v/>
      </c>
      <c r="O318" s="40" t="n"/>
    </row>
    <row r="319" ht="15" customHeight="1" s="34">
      <c r="A319" s="48" t="n"/>
      <c r="B319" s="41">
        <f>IF(A319="","",TEXT(A319,"mmm"))</f>
        <v/>
      </c>
      <c r="C319" s="41" t="n"/>
      <c r="D319" s="42" t="n"/>
      <c r="E319" s="41" t="n"/>
      <c r="F319" s="41">
        <f>IFERROR(INDEX(销售员主数据!$B$2:$B$101,MATCH($E319,销售员主数据!$A$2:$A$101,0)),"")</f>
        <v/>
      </c>
      <c r="G319" s="41">
        <f>IFERROR(INDEX(销售员主数据!$C$2:$C$101,MATCH($E319,销售员主数据!$A$2:$A$101,0)),"")</f>
        <v/>
      </c>
      <c r="H319" s="41">
        <f>IFERROR(INDEX(销售员主数据!$D$2:$D$101,MATCH($E319,销售员主数据!$A$2:$A$101,0)),"")</f>
        <v/>
      </c>
      <c r="I319" s="43" t="n"/>
      <c r="J319" s="43" t="n"/>
      <c r="K319" s="44" t="n"/>
      <c r="L319" s="58" t="n"/>
      <c r="M319" s="59" t="n"/>
      <c r="N319" s="60">
        <f>IF(COUNTBLANK(A319:L319)=12,"",1)</f>
        <v/>
      </c>
      <c r="O319" s="42" t="n"/>
    </row>
    <row r="320" ht="15" customHeight="1" s="34">
      <c r="A320" s="46" t="n"/>
      <c r="B320" s="39">
        <f>IF(A320="","",TEXT(A320,"mmm"))</f>
        <v/>
      </c>
      <c r="C320" s="39" t="n"/>
      <c r="D320" s="40" t="n"/>
      <c r="E320" s="39" t="n"/>
      <c r="F320" s="39">
        <f>IFERROR(INDEX(销售员主数据!$B$2:$B$101,MATCH($E320,销售员主数据!$A$2:$A$101,0)),"")</f>
        <v/>
      </c>
      <c r="G320" s="39">
        <f>IFERROR(INDEX(销售员主数据!$C$2:$C$101,MATCH($E320,销售员主数据!$A$2:$A$101,0)),"")</f>
        <v/>
      </c>
      <c r="H320" s="39">
        <f>IFERROR(INDEX(销售员主数据!$D$2:$D$101,MATCH($E320,销售员主数据!$A$2:$A$101,0)),"")</f>
        <v/>
      </c>
      <c r="I320" s="50" t="n"/>
      <c r="J320" s="50" t="n"/>
      <c r="K320" s="54" t="n"/>
      <c r="L320" s="55" t="n"/>
      <c r="M320" s="56" t="n"/>
      <c r="N320" s="57">
        <f>IF(COUNTBLANK(A320:L320)=12,"",1)</f>
        <v/>
      </c>
      <c r="O320" s="40" t="n"/>
    </row>
    <row r="321" ht="15" customHeight="1" s="34">
      <c r="A321" s="48" t="n"/>
      <c r="B321" s="41">
        <f>IF(A321="","",TEXT(A321,"mmm"))</f>
        <v/>
      </c>
      <c r="C321" s="41" t="n"/>
      <c r="D321" s="42" t="n"/>
      <c r="E321" s="41" t="n"/>
      <c r="F321" s="41">
        <f>IFERROR(INDEX(销售员主数据!$B$2:$B$101,MATCH($E321,销售员主数据!$A$2:$A$101,0)),"")</f>
        <v/>
      </c>
      <c r="G321" s="41">
        <f>IFERROR(INDEX(销售员主数据!$C$2:$C$101,MATCH($E321,销售员主数据!$A$2:$A$101,0)),"")</f>
        <v/>
      </c>
      <c r="H321" s="41">
        <f>IFERROR(INDEX(销售员主数据!$D$2:$D$101,MATCH($E321,销售员主数据!$A$2:$A$101,0)),"")</f>
        <v/>
      </c>
      <c r="I321" s="43" t="n"/>
      <c r="J321" s="43" t="n"/>
      <c r="K321" s="44" t="n"/>
      <c r="L321" s="58" t="n"/>
      <c r="M321" s="59" t="n"/>
      <c r="N321" s="60">
        <f>IF(COUNTBLANK(A321:L321)=12,"",1)</f>
        <v/>
      </c>
      <c r="O321" s="42" t="n"/>
    </row>
    <row r="322" ht="15" customHeight="1" s="34">
      <c r="A322" s="46" t="n"/>
      <c r="B322" s="39">
        <f>IF(A322="","",TEXT(A322,"mmm"))</f>
        <v/>
      </c>
      <c r="C322" s="39" t="n"/>
      <c r="D322" s="40" t="n"/>
      <c r="E322" s="39" t="n"/>
      <c r="F322" s="39">
        <f>IFERROR(INDEX(销售员主数据!$B$2:$B$101,MATCH($E322,销售员主数据!$A$2:$A$101,0)),"")</f>
        <v/>
      </c>
      <c r="G322" s="39">
        <f>IFERROR(INDEX(销售员主数据!$C$2:$C$101,MATCH($E322,销售员主数据!$A$2:$A$101,0)),"")</f>
        <v/>
      </c>
      <c r="H322" s="39">
        <f>IFERROR(INDEX(销售员主数据!$D$2:$D$101,MATCH($E322,销售员主数据!$A$2:$A$101,0)),"")</f>
        <v/>
      </c>
      <c r="I322" s="50" t="n"/>
      <c r="J322" s="50" t="n"/>
      <c r="K322" s="54" t="n"/>
      <c r="L322" s="55" t="n"/>
      <c r="M322" s="56" t="n"/>
      <c r="N322" s="57">
        <f>IF(COUNTBLANK(A322:L322)=12,"",1)</f>
        <v/>
      </c>
      <c r="O322" s="40" t="n"/>
    </row>
    <row r="323" ht="15" customHeight="1" s="34">
      <c r="A323" s="48" t="n"/>
      <c r="B323" s="41">
        <f>IF(A323="","",TEXT(A323,"mmm"))</f>
        <v/>
      </c>
      <c r="C323" s="41" t="n"/>
      <c r="D323" s="42" t="n"/>
      <c r="E323" s="41" t="n"/>
      <c r="F323" s="41">
        <f>IFERROR(INDEX(销售员主数据!$B$2:$B$101,MATCH($E323,销售员主数据!$A$2:$A$101,0)),"")</f>
        <v/>
      </c>
      <c r="G323" s="41">
        <f>IFERROR(INDEX(销售员主数据!$C$2:$C$101,MATCH($E323,销售员主数据!$A$2:$A$101,0)),"")</f>
        <v/>
      </c>
      <c r="H323" s="41">
        <f>IFERROR(INDEX(销售员主数据!$D$2:$D$101,MATCH($E323,销售员主数据!$A$2:$A$101,0)),"")</f>
        <v/>
      </c>
      <c r="I323" s="43" t="n"/>
      <c r="J323" s="43" t="n"/>
      <c r="K323" s="44" t="n"/>
      <c r="L323" s="58" t="n"/>
      <c r="M323" s="59" t="n"/>
      <c r="N323" s="60">
        <f>IF(COUNTBLANK(A323:L323)=12,"",1)</f>
        <v/>
      </c>
      <c r="O323" s="42" t="n"/>
    </row>
    <row r="324" ht="15" customHeight="1" s="34">
      <c r="A324" s="46" t="n"/>
      <c r="B324" s="39">
        <f>IF(A324="","",TEXT(A324,"mmm"))</f>
        <v/>
      </c>
      <c r="C324" s="39" t="n"/>
      <c r="D324" s="40" t="n"/>
      <c r="E324" s="39" t="n"/>
      <c r="F324" s="39">
        <f>IFERROR(INDEX(销售员主数据!$B$2:$B$101,MATCH($E324,销售员主数据!$A$2:$A$101,0)),"")</f>
        <v/>
      </c>
      <c r="G324" s="39">
        <f>IFERROR(INDEX(销售员主数据!$C$2:$C$101,MATCH($E324,销售员主数据!$A$2:$A$101,0)),"")</f>
        <v/>
      </c>
      <c r="H324" s="39">
        <f>IFERROR(INDEX(销售员主数据!$D$2:$D$101,MATCH($E324,销售员主数据!$A$2:$A$101,0)),"")</f>
        <v/>
      </c>
      <c r="I324" s="50" t="n"/>
      <c r="J324" s="50" t="n"/>
      <c r="K324" s="54" t="n"/>
      <c r="L324" s="55" t="n"/>
      <c r="M324" s="56" t="n"/>
      <c r="N324" s="57">
        <f>IF(COUNTBLANK(A324:L324)=12,"",1)</f>
        <v/>
      </c>
      <c r="O324" s="40" t="n"/>
    </row>
    <row r="325" ht="15" customHeight="1" s="34">
      <c r="A325" s="48" t="n"/>
      <c r="B325" s="41">
        <f>IF(A325="","",TEXT(A325,"mmm"))</f>
        <v/>
      </c>
      <c r="C325" s="41" t="n"/>
      <c r="D325" s="42" t="n"/>
      <c r="E325" s="41" t="n"/>
      <c r="F325" s="41">
        <f>IFERROR(INDEX(销售员主数据!$B$2:$B$101,MATCH($E325,销售员主数据!$A$2:$A$101,0)),"")</f>
        <v/>
      </c>
      <c r="G325" s="41">
        <f>IFERROR(INDEX(销售员主数据!$C$2:$C$101,MATCH($E325,销售员主数据!$A$2:$A$101,0)),"")</f>
        <v/>
      </c>
      <c r="H325" s="41">
        <f>IFERROR(INDEX(销售员主数据!$D$2:$D$101,MATCH($E325,销售员主数据!$A$2:$A$101,0)),"")</f>
        <v/>
      </c>
      <c r="I325" s="43" t="n"/>
      <c r="J325" s="43" t="n"/>
      <c r="K325" s="44" t="n"/>
      <c r="L325" s="58" t="n"/>
      <c r="M325" s="59" t="n"/>
      <c r="N325" s="60">
        <f>IF(COUNTBLANK(A325:L325)=12,"",1)</f>
        <v/>
      </c>
      <c r="O325" s="42" t="n"/>
    </row>
    <row r="326" ht="15" customHeight="1" s="34">
      <c r="A326" s="46" t="n"/>
      <c r="B326" s="39">
        <f>IF(A326="","",TEXT(A326,"mmm"))</f>
        <v/>
      </c>
      <c r="C326" s="39" t="n"/>
      <c r="D326" s="40" t="n"/>
      <c r="E326" s="39" t="n"/>
      <c r="F326" s="39">
        <f>IFERROR(INDEX(销售员主数据!$B$2:$B$101,MATCH($E326,销售员主数据!$A$2:$A$101,0)),"")</f>
        <v/>
      </c>
      <c r="G326" s="39">
        <f>IFERROR(INDEX(销售员主数据!$C$2:$C$101,MATCH($E326,销售员主数据!$A$2:$A$101,0)),"")</f>
        <v/>
      </c>
      <c r="H326" s="39">
        <f>IFERROR(INDEX(销售员主数据!$D$2:$D$101,MATCH($E326,销售员主数据!$A$2:$A$101,0)),"")</f>
        <v/>
      </c>
      <c r="I326" s="50" t="n"/>
      <c r="J326" s="50" t="n"/>
      <c r="K326" s="54" t="n"/>
      <c r="L326" s="55" t="n"/>
      <c r="M326" s="56" t="n"/>
      <c r="N326" s="57">
        <f>IF(COUNTBLANK(A326:L326)=12,"",1)</f>
        <v/>
      </c>
      <c r="O326" s="40" t="n"/>
    </row>
    <row r="327" ht="15" customHeight="1" s="34">
      <c r="A327" s="48" t="n"/>
      <c r="B327" s="41">
        <f>IF(A327="","",TEXT(A327,"mmm"))</f>
        <v/>
      </c>
      <c r="C327" s="41" t="n"/>
      <c r="D327" s="42" t="n"/>
      <c r="E327" s="41" t="n"/>
      <c r="F327" s="41">
        <f>IFERROR(INDEX(销售员主数据!$B$2:$B$101,MATCH($E327,销售员主数据!$A$2:$A$101,0)),"")</f>
        <v/>
      </c>
      <c r="G327" s="41">
        <f>IFERROR(INDEX(销售员主数据!$C$2:$C$101,MATCH($E327,销售员主数据!$A$2:$A$101,0)),"")</f>
        <v/>
      </c>
      <c r="H327" s="41">
        <f>IFERROR(INDEX(销售员主数据!$D$2:$D$101,MATCH($E327,销售员主数据!$A$2:$A$101,0)),"")</f>
        <v/>
      </c>
      <c r="I327" s="43" t="n"/>
      <c r="J327" s="43" t="n"/>
      <c r="K327" s="44" t="n"/>
      <c r="L327" s="58" t="n"/>
      <c r="M327" s="59" t="n"/>
      <c r="N327" s="60">
        <f>IF(COUNTBLANK(A327:L327)=12,"",1)</f>
        <v/>
      </c>
      <c r="O327" s="42" t="n"/>
    </row>
    <row r="328" ht="15" customHeight="1" s="34">
      <c r="A328" s="46" t="n"/>
      <c r="B328" s="39">
        <f>IF(A328="","",TEXT(A328,"mmm"))</f>
        <v/>
      </c>
      <c r="C328" s="39" t="n"/>
      <c r="D328" s="40" t="n"/>
      <c r="E328" s="39" t="n"/>
      <c r="F328" s="39">
        <f>IFERROR(INDEX(销售员主数据!$B$2:$B$101,MATCH($E328,销售员主数据!$A$2:$A$101,0)),"")</f>
        <v/>
      </c>
      <c r="G328" s="39">
        <f>IFERROR(INDEX(销售员主数据!$C$2:$C$101,MATCH($E328,销售员主数据!$A$2:$A$101,0)),"")</f>
        <v/>
      </c>
      <c r="H328" s="39">
        <f>IFERROR(INDEX(销售员主数据!$D$2:$D$101,MATCH($E328,销售员主数据!$A$2:$A$101,0)),"")</f>
        <v/>
      </c>
      <c r="I328" s="50" t="n"/>
      <c r="J328" s="50" t="n"/>
      <c r="K328" s="54" t="n"/>
      <c r="L328" s="55" t="n"/>
      <c r="M328" s="56" t="n"/>
      <c r="N328" s="57">
        <f>IF(COUNTBLANK(A328:L328)=12,"",1)</f>
        <v/>
      </c>
      <c r="O328" s="40" t="n"/>
    </row>
    <row r="329" ht="15" customHeight="1" s="34">
      <c r="A329" s="48" t="n"/>
      <c r="B329" s="41">
        <f>IF(A329="","",TEXT(A329,"mmm"))</f>
        <v/>
      </c>
      <c r="C329" s="41" t="n"/>
      <c r="D329" s="42" t="n"/>
      <c r="E329" s="41" t="n"/>
      <c r="F329" s="41">
        <f>IFERROR(INDEX(销售员主数据!$B$2:$B$101,MATCH($E329,销售员主数据!$A$2:$A$101,0)),"")</f>
        <v/>
      </c>
      <c r="G329" s="41">
        <f>IFERROR(INDEX(销售员主数据!$C$2:$C$101,MATCH($E329,销售员主数据!$A$2:$A$101,0)),"")</f>
        <v/>
      </c>
      <c r="H329" s="41">
        <f>IFERROR(INDEX(销售员主数据!$D$2:$D$101,MATCH($E329,销售员主数据!$A$2:$A$101,0)),"")</f>
        <v/>
      </c>
      <c r="I329" s="43" t="n"/>
      <c r="J329" s="43" t="n"/>
      <c r="K329" s="44" t="n"/>
      <c r="L329" s="58" t="n"/>
      <c r="M329" s="59" t="n"/>
      <c r="N329" s="60">
        <f>IF(COUNTBLANK(A329:L329)=12,"",1)</f>
        <v/>
      </c>
      <c r="O329" s="42" t="n"/>
    </row>
    <row r="330" ht="15" customHeight="1" s="34">
      <c r="A330" s="46" t="n"/>
      <c r="B330" s="39">
        <f>IF(A330="","",TEXT(A330,"mmm"))</f>
        <v/>
      </c>
      <c r="C330" s="39" t="n"/>
      <c r="D330" s="40" t="n"/>
      <c r="E330" s="39" t="n"/>
      <c r="F330" s="39">
        <f>IFERROR(INDEX(销售员主数据!$B$2:$B$101,MATCH($E330,销售员主数据!$A$2:$A$101,0)),"")</f>
        <v/>
      </c>
      <c r="G330" s="39">
        <f>IFERROR(INDEX(销售员主数据!$C$2:$C$101,MATCH($E330,销售员主数据!$A$2:$A$101,0)),"")</f>
        <v/>
      </c>
      <c r="H330" s="39">
        <f>IFERROR(INDEX(销售员主数据!$D$2:$D$101,MATCH($E330,销售员主数据!$A$2:$A$101,0)),"")</f>
        <v/>
      </c>
      <c r="I330" s="50" t="n"/>
      <c r="J330" s="50" t="n"/>
      <c r="K330" s="54" t="n"/>
      <c r="L330" s="55" t="n"/>
      <c r="M330" s="56" t="n"/>
      <c r="N330" s="57">
        <f>IF(COUNTBLANK(A330:L330)=12,"",1)</f>
        <v/>
      </c>
      <c r="O330" s="40" t="n"/>
    </row>
    <row r="331" ht="15" customHeight="1" s="34">
      <c r="A331" s="48" t="n"/>
      <c r="B331" s="41">
        <f>IF(A331="","",TEXT(A331,"mmm"))</f>
        <v/>
      </c>
      <c r="C331" s="41" t="n"/>
      <c r="D331" s="42" t="n"/>
      <c r="E331" s="41" t="n"/>
      <c r="F331" s="41">
        <f>IFERROR(INDEX(销售员主数据!$B$2:$B$101,MATCH($E331,销售员主数据!$A$2:$A$101,0)),"")</f>
        <v/>
      </c>
      <c r="G331" s="41">
        <f>IFERROR(INDEX(销售员主数据!$C$2:$C$101,MATCH($E331,销售员主数据!$A$2:$A$101,0)),"")</f>
        <v/>
      </c>
      <c r="H331" s="41">
        <f>IFERROR(INDEX(销售员主数据!$D$2:$D$101,MATCH($E331,销售员主数据!$A$2:$A$101,0)),"")</f>
        <v/>
      </c>
      <c r="I331" s="43" t="n"/>
      <c r="J331" s="43" t="n"/>
      <c r="K331" s="44" t="n"/>
      <c r="L331" s="58" t="n"/>
      <c r="M331" s="59" t="n"/>
      <c r="N331" s="60">
        <f>IF(COUNTBLANK(A331:L331)=12,"",1)</f>
        <v/>
      </c>
      <c r="O331" s="42" t="n"/>
    </row>
    <row r="332" ht="15" customHeight="1" s="34">
      <c r="A332" s="46" t="n"/>
      <c r="B332" s="39">
        <f>IF(A332="","",TEXT(A332,"mmm"))</f>
        <v/>
      </c>
      <c r="C332" s="39" t="n"/>
      <c r="D332" s="40" t="n"/>
      <c r="E332" s="39" t="n"/>
      <c r="F332" s="39">
        <f>IFERROR(INDEX(销售员主数据!$B$2:$B$101,MATCH($E332,销售员主数据!$A$2:$A$101,0)),"")</f>
        <v/>
      </c>
      <c r="G332" s="39">
        <f>IFERROR(INDEX(销售员主数据!$C$2:$C$101,MATCH($E332,销售员主数据!$A$2:$A$101,0)),"")</f>
        <v/>
      </c>
      <c r="H332" s="39">
        <f>IFERROR(INDEX(销售员主数据!$D$2:$D$101,MATCH($E332,销售员主数据!$A$2:$A$101,0)),"")</f>
        <v/>
      </c>
      <c r="I332" s="50" t="n"/>
      <c r="J332" s="50" t="n"/>
      <c r="K332" s="54" t="n"/>
      <c r="L332" s="55" t="n"/>
      <c r="M332" s="56" t="n"/>
      <c r="N332" s="57">
        <f>IF(COUNTBLANK(A332:L332)=12,"",1)</f>
        <v/>
      </c>
      <c r="O332" s="40" t="n"/>
    </row>
    <row r="333" ht="15" customHeight="1" s="34">
      <c r="A333" s="48" t="n"/>
      <c r="B333" s="41">
        <f>IF(A333="","",TEXT(A333,"mmm"))</f>
        <v/>
      </c>
      <c r="C333" s="41" t="n"/>
      <c r="D333" s="42" t="n"/>
      <c r="E333" s="41" t="n"/>
      <c r="F333" s="41">
        <f>IFERROR(INDEX(销售员主数据!$B$2:$B$101,MATCH($E333,销售员主数据!$A$2:$A$101,0)),"")</f>
        <v/>
      </c>
      <c r="G333" s="41">
        <f>IFERROR(INDEX(销售员主数据!$C$2:$C$101,MATCH($E333,销售员主数据!$A$2:$A$101,0)),"")</f>
        <v/>
      </c>
      <c r="H333" s="41">
        <f>IFERROR(INDEX(销售员主数据!$D$2:$D$101,MATCH($E333,销售员主数据!$A$2:$A$101,0)),"")</f>
        <v/>
      </c>
      <c r="I333" s="43" t="n"/>
      <c r="J333" s="43" t="n"/>
      <c r="K333" s="44" t="n"/>
      <c r="L333" s="58" t="n"/>
      <c r="M333" s="59" t="n"/>
      <c r="N333" s="60">
        <f>IF(COUNTBLANK(A333:L333)=12,"",1)</f>
        <v/>
      </c>
      <c r="O333" s="42" t="n"/>
    </row>
    <row r="334" ht="15" customHeight="1" s="34">
      <c r="A334" s="46" t="n"/>
      <c r="B334" s="39">
        <f>IF(A334="","",TEXT(A334,"mmm"))</f>
        <v/>
      </c>
      <c r="C334" s="39" t="n"/>
      <c r="D334" s="40" t="n"/>
      <c r="E334" s="39" t="n"/>
      <c r="F334" s="39">
        <f>IFERROR(INDEX(销售员主数据!$B$2:$B$101,MATCH($E334,销售员主数据!$A$2:$A$101,0)),"")</f>
        <v/>
      </c>
      <c r="G334" s="39">
        <f>IFERROR(INDEX(销售员主数据!$C$2:$C$101,MATCH($E334,销售员主数据!$A$2:$A$101,0)),"")</f>
        <v/>
      </c>
      <c r="H334" s="39">
        <f>IFERROR(INDEX(销售员主数据!$D$2:$D$101,MATCH($E334,销售员主数据!$A$2:$A$101,0)),"")</f>
        <v/>
      </c>
      <c r="I334" s="50" t="n"/>
      <c r="J334" s="50" t="n"/>
      <c r="K334" s="54" t="n"/>
      <c r="L334" s="55" t="n"/>
      <c r="M334" s="56" t="n"/>
      <c r="N334" s="57">
        <f>IF(COUNTBLANK(A334:L334)=12,"",1)</f>
        <v/>
      </c>
      <c r="O334" s="40" t="n"/>
    </row>
    <row r="335" ht="15" customHeight="1" s="34">
      <c r="A335" s="48" t="n"/>
      <c r="B335" s="41">
        <f>IF(A335="","",TEXT(A335,"mmm"))</f>
        <v/>
      </c>
      <c r="C335" s="41" t="n"/>
      <c r="D335" s="42" t="n"/>
      <c r="E335" s="41" t="n"/>
      <c r="F335" s="41">
        <f>IFERROR(INDEX(销售员主数据!$B$2:$B$101,MATCH($E335,销售员主数据!$A$2:$A$101,0)),"")</f>
        <v/>
      </c>
      <c r="G335" s="41">
        <f>IFERROR(INDEX(销售员主数据!$C$2:$C$101,MATCH($E335,销售员主数据!$A$2:$A$101,0)),"")</f>
        <v/>
      </c>
      <c r="H335" s="41">
        <f>IFERROR(INDEX(销售员主数据!$D$2:$D$101,MATCH($E335,销售员主数据!$A$2:$A$101,0)),"")</f>
        <v/>
      </c>
      <c r="I335" s="43" t="n"/>
      <c r="J335" s="43" t="n"/>
      <c r="K335" s="44" t="n"/>
      <c r="L335" s="58" t="n"/>
      <c r="M335" s="59" t="n"/>
      <c r="N335" s="60">
        <f>IF(COUNTBLANK(A335:L335)=12,"",1)</f>
        <v/>
      </c>
      <c r="O335" s="42" t="n"/>
    </row>
    <row r="336" ht="15" customHeight="1" s="34">
      <c r="A336" s="46" t="n"/>
      <c r="B336" s="39">
        <f>IF(A336="","",TEXT(A336,"mmm"))</f>
        <v/>
      </c>
      <c r="C336" s="39" t="n"/>
      <c r="D336" s="40" t="n"/>
      <c r="E336" s="39" t="n"/>
      <c r="F336" s="39">
        <f>IFERROR(INDEX(销售员主数据!$B$2:$B$101,MATCH($E336,销售员主数据!$A$2:$A$101,0)),"")</f>
        <v/>
      </c>
      <c r="G336" s="39">
        <f>IFERROR(INDEX(销售员主数据!$C$2:$C$101,MATCH($E336,销售员主数据!$A$2:$A$101,0)),"")</f>
        <v/>
      </c>
      <c r="H336" s="39">
        <f>IFERROR(INDEX(销售员主数据!$D$2:$D$101,MATCH($E336,销售员主数据!$A$2:$A$101,0)),"")</f>
        <v/>
      </c>
      <c r="I336" s="50" t="n"/>
      <c r="J336" s="50" t="n"/>
      <c r="K336" s="54" t="n"/>
      <c r="L336" s="55" t="n"/>
      <c r="M336" s="56" t="n"/>
      <c r="N336" s="57">
        <f>IF(COUNTBLANK(A336:L336)=12,"",1)</f>
        <v/>
      </c>
      <c r="O336" s="40" t="n"/>
    </row>
    <row r="337" ht="15" customHeight="1" s="34">
      <c r="A337" s="48" t="n"/>
      <c r="B337" s="41">
        <f>IF(A337="","",TEXT(A337,"mmm"))</f>
        <v/>
      </c>
      <c r="C337" s="41" t="n"/>
      <c r="D337" s="42" t="n"/>
      <c r="E337" s="41" t="n"/>
      <c r="F337" s="41">
        <f>IFERROR(INDEX(销售员主数据!$B$2:$B$101,MATCH($E337,销售员主数据!$A$2:$A$101,0)),"")</f>
        <v/>
      </c>
      <c r="G337" s="41">
        <f>IFERROR(INDEX(销售员主数据!$C$2:$C$101,MATCH($E337,销售员主数据!$A$2:$A$101,0)),"")</f>
        <v/>
      </c>
      <c r="H337" s="41">
        <f>IFERROR(INDEX(销售员主数据!$D$2:$D$101,MATCH($E337,销售员主数据!$A$2:$A$101,0)),"")</f>
        <v/>
      </c>
      <c r="I337" s="43" t="n"/>
      <c r="J337" s="43" t="n"/>
      <c r="K337" s="44" t="n"/>
      <c r="L337" s="58" t="n"/>
      <c r="M337" s="59" t="n"/>
      <c r="N337" s="60">
        <f>IF(COUNTBLANK(A337:L337)=12,"",1)</f>
        <v/>
      </c>
      <c r="O337" s="42" t="n"/>
    </row>
    <row r="338" ht="15" customHeight="1" s="34">
      <c r="A338" s="46" t="n"/>
      <c r="B338" s="39">
        <f>IF(A338="","",TEXT(A338,"mmm"))</f>
        <v/>
      </c>
      <c r="C338" s="39" t="n"/>
      <c r="D338" s="40" t="n"/>
      <c r="E338" s="39" t="n"/>
      <c r="F338" s="39">
        <f>IFERROR(INDEX(销售员主数据!$B$2:$B$101,MATCH($E338,销售员主数据!$A$2:$A$101,0)),"")</f>
        <v/>
      </c>
      <c r="G338" s="39">
        <f>IFERROR(INDEX(销售员主数据!$C$2:$C$101,MATCH($E338,销售员主数据!$A$2:$A$101,0)),"")</f>
        <v/>
      </c>
      <c r="H338" s="39">
        <f>IFERROR(INDEX(销售员主数据!$D$2:$D$101,MATCH($E338,销售员主数据!$A$2:$A$101,0)),"")</f>
        <v/>
      </c>
      <c r="I338" s="50" t="n"/>
      <c r="J338" s="50" t="n"/>
      <c r="K338" s="54" t="n"/>
      <c r="L338" s="55" t="n"/>
      <c r="M338" s="56" t="n"/>
      <c r="N338" s="57">
        <f>IF(COUNTBLANK(A338:L338)=12,"",1)</f>
        <v/>
      </c>
      <c r="O338" s="40" t="n"/>
    </row>
    <row r="339" ht="15" customHeight="1" s="34">
      <c r="A339" s="48" t="n"/>
      <c r="B339" s="41">
        <f>IF(A339="","",TEXT(A339,"mmm"))</f>
        <v/>
      </c>
      <c r="C339" s="41" t="n"/>
      <c r="D339" s="42" t="n"/>
      <c r="E339" s="41" t="n"/>
      <c r="F339" s="41">
        <f>IFERROR(INDEX(销售员主数据!$B$2:$B$101,MATCH($E339,销售员主数据!$A$2:$A$101,0)),"")</f>
        <v/>
      </c>
      <c r="G339" s="41">
        <f>IFERROR(INDEX(销售员主数据!$C$2:$C$101,MATCH($E339,销售员主数据!$A$2:$A$101,0)),"")</f>
        <v/>
      </c>
      <c r="H339" s="41">
        <f>IFERROR(INDEX(销售员主数据!$D$2:$D$101,MATCH($E339,销售员主数据!$A$2:$A$101,0)),"")</f>
        <v/>
      </c>
      <c r="I339" s="43" t="n"/>
      <c r="J339" s="43" t="n"/>
      <c r="K339" s="44" t="n"/>
      <c r="L339" s="58" t="n"/>
      <c r="M339" s="59" t="n"/>
      <c r="N339" s="60">
        <f>IF(COUNTBLANK(A339:L339)=12,"",1)</f>
        <v/>
      </c>
      <c r="O339" s="42" t="n"/>
    </row>
    <row r="340" ht="15" customHeight="1" s="34">
      <c r="A340" s="46" t="n"/>
      <c r="B340" s="39">
        <f>IF(A340="","",TEXT(A340,"mmm"))</f>
        <v/>
      </c>
      <c r="C340" s="39" t="n"/>
      <c r="D340" s="40" t="n"/>
      <c r="E340" s="39" t="n"/>
      <c r="F340" s="39">
        <f>IFERROR(INDEX(销售员主数据!$B$2:$B$101,MATCH($E340,销售员主数据!$A$2:$A$101,0)),"")</f>
        <v/>
      </c>
      <c r="G340" s="39">
        <f>IFERROR(INDEX(销售员主数据!$C$2:$C$101,MATCH($E340,销售员主数据!$A$2:$A$101,0)),"")</f>
        <v/>
      </c>
      <c r="H340" s="39">
        <f>IFERROR(INDEX(销售员主数据!$D$2:$D$101,MATCH($E340,销售员主数据!$A$2:$A$101,0)),"")</f>
        <v/>
      </c>
      <c r="I340" s="50" t="n"/>
      <c r="J340" s="50" t="n"/>
      <c r="K340" s="54" t="n"/>
      <c r="L340" s="55" t="n"/>
      <c r="M340" s="56" t="n"/>
      <c r="N340" s="57">
        <f>IF(COUNTBLANK(A340:L340)=12,"",1)</f>
        <v/>
      </c>
      <c r="O340" s="40" t="n"/>
    </row>
    <row r="341" ht="15" customHeight="1" s="34">
      <c r="A341" s="48" t="n"/>
      <c r="B341" s="41">
        <f>IF(A341="","",TEXT(A341,"mmm"))</f>
        <v/>
      </c>
      <c r="C341" s="41" t="n"/>
      <c r="D341" s="42" t="n"/>
      <c r="E341" s="41" t="n"/>
      <c r="F341" s="41">
        <f>IFERROR(INDEX(销售员主数据!$B$2:$B$101,MATCH($E341,销售员主数据!$A$2:$A$101,0)),"")</f>
        <v/>
      </c>
      <c r="G341" s="41">
        <f>IFERROR(INDEX(销售员主数据!$C$2:$C$101,MATCH($E341,销售员主数据!$A$2:$A$101,0)),"")</f>
        <v/>
      </c>
      <c r="H341" s="41">
        <f>IFERROR(INDEX(销售员主数据!$D$2:$D$101,MATCH($E341,销售员主数据!$A$2:$A$101,0)),"")</f>
        <v/>
      </c>
      <c r="I341" s="43" t="n"/>
      <c r="J341" s="43" t="n"/>
      <c r="K341" s="44" t="n"/>
      <c r="L341" s="58" t="n"/>
      <c r="M341" s="59" t="n"/>
      <c r="N341" s="60">
        <f>IF(COUNTBLANK(A341:L341)=12,"",1)</f>
        <v/>
      </c>
      <c r="O341" s="42" t="n"/>
    </row>
    <row r="342" ht="15" customHeight="1" s="34">
      <c r="A342" s="46" t="n"/>
      <c r="B342" s="39">
        <f>IF(A342="","",TEXT(A342,"mmm"))</f>
        <v/>
      </c>
      <c r="C342" s="39" t="n"/>
      <c r="D342" s="40" t="n"/>
      <c r="E342" s="39" t="n"/>
      <c r="F342" s="39">
        <f>IFERROR(INDEX(销售员主数据!$B$2:$B$101,MATCH($E342,销售员主数据!$A$2:$A$101,0)),"")</f>
        <v/>
      </c>
      <c r="G342" s="39">
        <f>IFERROR(INDEX(销售员主数据!$C$2:$C$101,MATCH($E342,销售员主数据!$A$2:$A$101,0)),"")</f>
        <v/>
      </c>
      <c r="H342" s="39">
        <f>IFERROR(INDEX(销售员主数据!$D$2:$D$101,MATCH($E342,销售员主数据!$A$2:$A$101,0)),"")</f>
        <v/>
      </c>
      <c r="I342" s="50" t="n"/>
      <c r="J342" s="50" t="n"/>
      <c r="K342" s="54" t="n"/>
      <c r="L342" s="55" t="n"/>
      <c r="M342" s="56" t="n"/>
      <c r="N342" s="57">
        <f>IF(COUNTBLANK(A342:L342)=12,"",1)</f>
        <v/>
      </c>
      <c r="O342" s="40" t="n"/>
    </row>
    <row r="343" ht="15" customHeight="1" s="34">
      <c r="A343" s="48" t="n"/>
      <c r="B343" s="41">
        <f>IF(A343="","",TEXT(A343,"mmm"))</f>
        <v/>
      </c>
      <c r="C343" s="41" t="n"/>
      <c r="D343" s="42" t="n"/>
      <c r="E343" s="41" t="n"/>
      <c r="F343" s="41">
        <f>IFERROR(INDEX(销售员主数据!$B$2:$B$101,MATCH($E343,销售员主数据!$A$2:$A$101,0)),"")</f>
        <v/>
      </c>
      <c r="G343" s="41">
        <f>IFERROR(INDEX(销售员主数据!$C$2:$C$101,MATCH($E343,销售员主数据!$A$2:$A$101,0)),"")</f>
        <v/>
      </c>
      <c r="H343" s="41">
        <f>IFERROR(INDEX(销售员主数据!$D$2:$D$101,MATCH($E343,销售员主数据!$A$2:$A$101,0)),"")</f>
        <v/>
      </c>
      <c r="I343" s="43" t="n"/>
      <c r="J343" s="43" t="n"/>
      <c r="K343" s="44" t="n"/>
      <c r="L343" s="58" t="n"/>
      <c r="M343" s="59" t="n"/>
      <c r="N343" s="60">
        <f>IF(COUNTBLANK(A343:L343)=12,"",1)</f>
        <v/>
      </c>
      <c r="O343" s="42" t="n"/>
    </row>
    <row r="344" ht="15" customHeight="1" s="34">
      <c r="A344" s="46" t="n"/>
      <c r="B344" s="39">
        <f>IF(A344="","",TEXT(A344,"mmm"))</f>
        <v/>
      </c>
      <c r="C344" s="39" t="n"/>
      <c r="D344" s="40" t="n"/>
      <c r="E344" s="39" t="n"/>
      <c r="F344" s="39">
        <f>IFERROR(INDEX(销售员主数据!$B$2:$B$101,MATCH($E344,销售员主数据!$A$2:$A$101,0)),"")</f>
        <v/>
      </c>
      <c r="G344" s="39">
        <f>IFERROR(INDEX(销售员主数据!$C$2:$C$101,MATCH($E344,销售员主数据!$A$2:$A$101,0)),"")</f>
        <v/>
      </c>
      <c r="H344" s="39">
        <f>IFERROR(INDEX(销售员主数据!$D$2:$D$101,MATCH($E344,销售员主数据!$A$2:$A$101,0)),"")</f>
        <v/>
      </c>
      <c r="I344" s="50" t="n"/>
      <c r="J344" s="50" t="n"/>
      <c r="K344" s="54" t="n"/>
      <c r="L344" s="55" t="n"/>
      <c r="M344" s="56" t="n"/>
      <c r="N344" s="57">
        <f>IF(COUNTBLANK(A344:L344)=12,"",1)</f>
        <v/>
      </c>
      <c r="O344" s="40" t="n"/>
    </row>
    <row r="345" ht="15" customHeight="1" s="34">
      <c r="A345" s="48" t="n"/>
      <c r="B345" s="41">
        <f>IF(A345="","",TEXT(A345,"mmm"))</f>
        <v/>
      </c>
      <c r="C345" s="41" t="n"/>
      <c r="D345" s="42" t="n"/>
      <c r="E345" s="41" t="n"/>
      <c r="F345" s="41">
        <f>IFERROR(INDEX(销售员主数据!$B$2:$B$101,MATCH($E345,销售员主数据!$A$2:$A$101,0)),"")</f>
        <v/>
      </c>
      <c r="G345" s="41">
        <f>IFERROR(INDEX(销售员主数据!$C$2:$C$101,MATCH($E345,销售员主数据!$A$2:$A$101,0)),"")</f>
        <v/>
      </c>
      <c r="H345" s="41">
        <f>IFERROR(INDEX(销售员主数据!$D$2:$D$101,MATCH($E345,销售员主数据!$A$2:$A$101,0)),"")</f>
        <v/>
      </c>
      <c r="I345" s="43" t="n"/>
      <c r="J345" s="43" t="n"/>
      <c r="K345" s="44" t="n"/>
      <c r="L345" s="58" t="n"/>
      <c r="M345" s="59" t="n"/>
      <c r="N345" s="60">
        <f>IF(COUNTBLANK(A345:L345)=12,"",1)</f>
        <v/>
      </c>
      <c r="O345" s="42" t="n"/>
    </row>
    <row r="346" ht="15" customHeight="1" s="34">
      <c r="A346" s="46" t="n"/>
      <c r="B346" s="39">
        <f>IF(A346="","",TEXT(A346,"mmm"))</f>
        <v/>
      </c>
      <c r="C346" s="39" t="n"/>
      <c r="D346" s="40" t="n"/>
      <c r="E346" s="39" t="n"/>
      <c r="F346" s="39">
        <f>IFERROR(INDEX(销售员主数据!$B$2:$B$101,MATCH($E346,销售员主数据!$A$2:$A$101,0)),"")</f>
        <v/>
      </c>
      <c r="G346" s="39">
        <f>IFERROR(INDEX(销售员主数据!$C$2:$C$101,MATCH($E346,销售员主数据!$A$2:$A$101,0)),"")</f>
        <v/>
      </c>
      <c r="H346" s="39">
        <f>IFERROR(INDEX(销售员主数据!$D$2:$D$101,MATCH($E346,销售员主数据!$A$2:$A$101,0)),"")</f>
        <v/>
      </c>
      <c r="I346" s="50" t="n"/>
      <c r="J346" s="50" t="n"/>
      <c r="K346" s="54" t="n"/>
      <c r="L346" s="55" t="n"/>
      <c r="M346" s="56" t="n"/>
      <c r="N346" s="57">
        <f>IF(COUNTBLANK(A346:L346)=12,"",1)</f>
        <v/>
      </c>
      <c r="O346" s="40" t="n"/>
    </row>
    <row r="347" ht="15" customHeight="1" s="34">
      <c r="A347" s="48" t="n"/>
      <c r="B347" s="41">
        <f>IF(A347="","",TEXT(A347,"mmm"))</f>
        <v/>
      </c>
      <c r="C347" s="41" t="n"/>
      <c r="D347" s="42" t="n"/>
      <c r="E347" s="41" t="n"/>
      <c r="F347" s="41">
        <f>IFERROR(INDEX(销售员主数据!$B$2:$B$101,MATCH($E347,销售员主数据!$A$2:$A$101,0)),"")</f>
        <v/>
      </c>
      <c r="G347" s="41">
        <f>IFERROR(INDEX(销售员主数据!$C$2:$C$101,MATCH($E347,销售员主数据!$A$2:$A$101,0)),"")</f>
        <v/>
      </c>
      <c r="H347" s="41">
        <f>IFERROR(INDEX(销售员主数据!$D$2:$D$101,MATCH($E347,销售员主数据!$A$2:$A$101,0)),"")</f>
        <v/>
      </c>
      <c r="I347" s="43" t="n"/>
      <c r="J347" s="43" t="n"/>
      <c r="K347" s="44" t="n"/>
      <c r="L347" s="58" t="n"/>
      <c r="M347" s="59" t="n"/>
      <c r="N347" s="60">
        <f>IF(COUNTBLANK(A347:L347)=12,"",1)</f>
        <v/>
      </c>
      <c r="O347" s="42" t="n"/>
    </row>
    <row r="348" ht="15" customHeight="1" s="34">
      <c r="A348" s="46" t="n"/>
      <c r="B348" s="39">
        <f>IF(A348="","",TEXT(A348,"mmm"))</f>
        <v/>
      </c>
      <c r="C348" s="39" t="n"/>
      <c r="D348" s="40" t="n"/>
      <c r="E348" s="39" t="n"/>
      <c r="F348" s="39">
        <f>IFERROR(INDEX(销售员主数据!$B$2:$B$101,MATCH($E348,销售员主数据!$A$2:$A$101,0)),"")</f>
        <v/>
      </c>
      <c r="G348" s="39">
        <f>IFERROR(INDEX(销售员主数据!$C$2:$C$101,MATCH($E348,销售员主数据!$A$2:$A$101,0)),"")</f>
        <v/>
      </c>
      <c r="H348" s="39">
        <f>IFERROR(INDEX(销售员主数据!$D$2:$D$101,MATCH($E348,销售员主数据!$A$2:$A$101,0)),"")</f>
        <v/>
      </c>
      <c r="I348" s="50" t="n"/>
      <c r="J348" s="50" t="n"/>
      <c r="K348" s="54" t="n"/>
      <c r="L348" s="55" t="n"/>
      <c r="M348" s="56" t="n"/>
      <c r="N348" s="57">
        <f>IF(COUNTBLANK(A348:L348)=12,"",1)</f>
        <v/>
      </c>
      <c r="O348" s="40" t="n"/>
    </row>
    <row r="349" ht="15" customHeight="1" s="34">
      <c r="A349" s="48" t="n"/>
      <c r="B349" s="41">
        <f>IF(A349="","",TEXT(A349,"mmm"))</f>
        <v/>
      </c>
      <c r="C349" s="41" t="n"/>
      <c r="D349" s="42" t="n"/>
      <c r="E349" s="41" t="n"/>
      <c r="F349" s="41">
        <f>IFERROR(INDEX(销售员主数据!$B$2:$B$101,MATCH($E349,销售员主数据!$A$2:$A$101,0)),"")</f>
        <v/>
      </c>
      <c r="G349" s="41">
        <f>IFERROR(INDEX(销售员主数据!$C$2:$C$101,MATCH($E349,销售员主数据!$A$2:$A$101,0)),"")</f>
        <v/>
      </c>
      <c r="H349" s="41">
        <f>IFERROR(INDEX(销售员主数据!$D$2:$D$101,MATCH($E349,销售员主数据!$A$2:$A$101,0)),"")</f>
        <v/>
      </c>
      <c r="I349" s="43" t="n"/>
      <c r="J349" s="43" t="n"/>
      <c r="K349" s="44" t="n"/>
      <c r="L349" s="58" t="n"/>
      <c r="M349" s="59" t="n"/>
      <c r="N349" s="60">
        <f>IF(COUNTBLANK(A349:L349)=12,"",1)</f>
        <v/>
      </c>
      <c r="O349" s="42" t="n"/>
    </row>
    <row r="350" ht="15" customHeight="1" s="34">
      <c r="A350" s="46" t="n"/>
      <c r="B350" s="39">
        <f>IF(A350="","",TEXT(A350,"mmm"))</f>
        <v/>
      </c>
      <c r="C350" s="39" t="n"/>
      <c r="D350" s="40" t="n"/>
      <c r="E350" s="39" t="n"/>
      <c r="F350" s="39">
        <f>IFERROR(INDEX(销售员主数据!$B$2:$B$101,MATCH($E350,销售员主数据!$A$2:$A$101,0)),"")</f>
        <v/>
      </c>
      <c r="G350" s="39">
        <f>IFERROR(INDEX(销售员主数据!$C$2:$C$101,MATCH($E350,销售员主数据!$A$2:$A$101,0)),"")</f>
        <v/>
      </c>
      <c r="H350" s="39">
        <f>IFERROR(INDEX(销售员主数据!$D$2:$D$101,MATCH($E350,销售员主数据!$A$2:$A$101,0)),"")</f>
        <v/>
      </c>
      <c r="I350" s="50" t="n"/>
      <c r="J350" s="50" t="n"/>
      <c r="K350" s="54" t="n"/>
      <c r="L350" s="55" t="n"/>
      <c r="M350" s="56" t="n"/>
      <c r="N350" s="57">
        <f>IF(COUNTBLANK(A350:L350)=12,"",1)</f>
        <v/>
      </c>
      <c r="O350" s="40" t="n"/>
    </row>
    <row r="351" ht="15" customHeight="1" s="34">
      <c r="A351" s="48" t="n"/>
      <c r="B351" s="41">
        <f>IF(A351="","",TEXT(A351,"mmm"))</f>
        <v/>
      </c>
      <c r="C351" s="41" t="n"/>
      <c r="D351" s="42" t="n"/>
      <c r="E351" s="41" t="n"/>
      <c r="F351" s="41">
        <f>IFERROR(INDEX(销售员主数据!$B$2:$B$101,MATCH($E351,销售员主数据!$A$2:$A$101,0)),"")</f>
        <v/>
      </c>
      <c r="G351" s="41">
        <f>IFERROR(INDEX(销售员主数据!$C$2:$C$101,MATCH($E351,销售员主数据!$A$2:$A$101,0)),"")</f>
        <v/>
      </c>
      <c r="H351" s="41">
        <f>IFERROR(INDEX(销售员主数据!$D$2:$D$101,MATCH($E351,销售员主数据!$A$2:$A$101,0)),"")</f>
        <v/>
      </c>
      <c r="I351" s="43" t="n"/>
      <c r="J351" s="43" t="n"/>
      <c r="K351" s="44" t="n"/>
      <c r="L351" s="58" t="n"/>
      <c r="M351" s="59" t="n"/>
      <c r="N351" s="60">
        <f>IF(COUNTBLANK(A351:L351)=12,"",1)</f>
        <v/>
      </c>
      <c r="O351" s="42" t="n"/>
    </row>
    <row r="352" ht="15" customHeight="1" s="34">
      <c r="A352" s="46" t="n"/>
      <c r="B352" s="39">
        <f>IF(A352="","",TEXT(A352,"mmm"))</f>
        <v/>
      </c>
      <c r="C352" s="39" t="n"/>
      <c r="D352" s="40" t="n"/>
      <c r="E352" s="39" t="n"/>
      <c r="F352" s="39">
        <f>IFERROR(INDEX(销售员主数据!$B$2:$B$101,MATCH($E352,销售员主数据!$A$2:$A$101,0)),"")</f>
        <v/>
      </c>
      <c r="G352" s="39">
        <f>IFERROR(INDEX(销售员主数据!$C$2:$C$101,MATCH($E352,销售员主数据!$A$2:$A$101,0)),"")</f>
        <v/>
      </c>
      <c r="H352" s="39">
        <f>IFERROR(INDEX(销售员主数据!$D$2:$D$101,MATCH($E352,销售员主数据!$A$2:$A$101,0)),"")</f>
        <v/>
      </c>
      <c r="I352" s="50" t="n"/>
      <c r="J352" s="50" t="n"/>
      <c r="K352" s="54" t="n"/>
      <c r="L352" s="55" t="n"/>
      <c r="M352" s="56" t="n"/>
      <c r="N352" s="57">
        <f>IF(COUNTBLANK(A352:L352)=12,"",1)</f>
        <v/>
      </c>
      <c r="O352" s="40" t="n"/>
    </row>
    <row r="353" ht="15" customHeight="1" s="34">
      <c r="A353" s="48" t="n"/>
      <c r="B353" s="41">
        <f>IF(A353="","",TEXT(A353,"mmm"))</f>
        <v/>
      </c>
      <c r="C353" s="41" t="n"/>
      <c r="D353" s="42" t="n"/>
      <c r="E353" s="41" t="n"/>
      <c r="F353" s="41">
        <f>IFERROR(INDEX(销售员主数据!$B$2:$B$101,MATCH($E353,销售员主数据!$A$2:$A$101,0)),"")</f>
        <v/>
      </c>
      <c r="G353" s="41">
        <f>IFERROR(INDEX(销售员主数据!$C$2:$C$101,MATCH($E353,销售员主数据!$A$2:$A$101,0)),"")</f>
        <v/>
      </c>
      <c r="H353" s="41">
        <f>IFERROR(INDEX(销售员主数据!$D$2:$D$101,MATCH($E353,销售员主数据!$A$2:$A$101,0)),"")</f>
        <v/>
      </c>
      <c r="I353" s="43" t="n"/>
      <c r="J353" s="43" t="n"/>
      <c r="K353" s="44" t="n"/>
      <c r="L353" s="58" t="n"/>
      <c r="M353" s="59" t="n"/>
      <c r="N353" s="60">
        <f>IF(COUNTBLANK(A353:L353)=12,"",1)</f>
        <v/>
      </c>
      <c r="O353" s="42" t="n"/>
    </row>
    <row r="354" ht="15" customHeight="1" s="34">
      <c r="A354" s="46" t="n"/>
      <c r="B354" s="39">
        <f>IF(A354="","",TEXT(A354,"mmm"))</f>
        <v/>
      </c>
      <c r="C354" s="39" t="n"/>
      <c r="D354" s="40" t="n"/>
      <c r="E354" s="39" t="n"/>
      <c r="F354" s="39">
        <f>IFERROR(INDEX(销售员主数据!$B$2:$B$101,MATCH($E354,销售员主数据!$A$2:$A$101,0)),"")</f>
        <v/>
      </c>
      <c r="G354" s="39">
        <f>IFERROR(INDEX(销售员主数据!$C$2:$C$101,MATCH($E354,销售员主数据!$A$2:$A$101,0)),"")</f>
        <v/>
      </c>
      <c r="H354" s="39">
        <f>IFERROR(INDEX(销售员主数据!$D$2:$D$101,MATCH($E354,销售员主数据!$A$2:$A$101,0)),"")</f>
        <v/>
      </c>
      <c r="I354" s="50" t="n"/>
      <c r="J354" s="50" t="n"/>
      <c r="K354" s="54" t="n"/>
      <c r="L354" s="55" t="n"/>
      <c r="M354" s="56" t="n"/>
      <c r="N354" s="57">
        <f>IF(COUNTBLANK(A354:L354)=12,"",1)</f>
        <v/>
      </c>
      <c r="O354" s="40" t="n"/>
    </row>
    <row r="355" ht="15" customHeight="1" s="34">
      <c r="A355" s="48" t="n"/>
      <c r="B355" s="41">
        <f>IF(A355="","",TEXT(A355,"mmm"))</f>
        <v/>
      </c>
      <c r="C355" s="41" t="n"/>
      <c r="D355" s="42" t="n"/>
      <c r="E355" s="41" t="n"/>
      <c r="F355" s="41">
        <f>IFERROR(INDEX(销售员主数据!$B$2:$B$101,MATCH($E355,销售员主数据!$A$2:$A$101,0)),"")</f>
        <v/>
      </c>
      <c r="G355" s="41">
        <f>IFERROR(INDEX(销售员主数据!$C$2:$C$101,MATCH($E355,销售员主数据!$A$2:$A$101,0)),"")</f>
        <v/>
      </c>
      <c r="H355" s="41">
        <f>IFERROR(INDEX(销售员主数据!$D$2:$D$101,MATCH($E355,销售员主数据!$A$2:$A$101,0)),"")</f>
        <v/>
      </c>
      <c r="I355" s="43" t="n"/>
      <c r="J355" s="43" t="n"/>
      <c r="K355" s="44" t="n"/>
      <c r="L355" s="58" t="n"/>
      <c r="M355" s="59" t="n"/>
      <c r="N355" s="60">
        <f>IF(COUNTBLANK(A355:L355)=12,"",1)</f>
        <v/>
      </c>
      <c r="O355" s="42" t="n"/>
    </row>
    <row r="356" ht="15" customHeight="1" s="34">
      <c r="A356" s="46" t="n"/>
      <c r="B356" s="39">
        <f>IF(A356="","",TEXT(A356,"mmm"))</f>
        <v/>
      </c>
      <c r="C356" s="39" t="n"/>
      <c r="D356" s="40" t="n"/>
      <c r="E356" s="39" t="n"/>
      <c r="F356" s="39">
        <f>IFERROR(INDEX(销售员主数据!$B$2:$B$101,MATCH($E356,销售员主数据!$A$2:$A$101,0)),"")</f>
        <v/>
      </c>
      <c r="G356" s="39">
        <f>IFERROR(INDEX(销售员主数据!$C$2:$C$101,MATCH($E356,销售员主数据!$A$2:$A$101,0)),"")</f>
        <v/>
      </c>
      <c r="H356" s="39">
        <f>IFERROR(INDEX(销售员主数据!$D$2:$D$101,MATCH($E356,销售员主数据!$A$2:$A$101,0)),"")</f>
        <v/>
      </c>
      <c r="I356" s="50" t="n"/>
      <c r="J356" s="50" t="n"/>
      <c r="K356" s="54" t="n"/>
      <c r="L356" s="55" t="n"/>
      <c r="M356" s="56" t="n"/>
      <c r="N356" s="57">
        <f>IF(COUNTBLANK(A356:L356)=12,"",1)</f>
        <v/>
      </c>
      <c r="O356" s="40" t="n"/>
    </row>
    <row r="357" ht="15" customHeight="1" s="34">
      <c r="A357" s="48" t="n"/>
      <c r="B357" s="41">
        <f>IF(A357="","",TEXT(A357,"mmm"))</f>
        <v/>
      </c>
      <c r="C357" s="41" t="n"/>
      <c r="D357" s="42" t="n"/>
      <c r="E357" s="41" t="n"/>
      <c r="F357" s="41">
        <f>IFERROR(INDEX(销售员主数据!$B$2:$B$101,MATCH($E357,销售员主数据!$A$2:$A$101,0)),"")</f>
        <v/>
      </c>
      <c r="G357" s="41">
        <f>IFERROR(INDEX(销售员主数据!$C$2:$C$101,MATCH($E357,销售员主数据!$A$2:$A$101,0)),"")</f>
        <v/>
      </c>
      <c r="H357" s="41">
        <f>IFERROR(INDEX(销售员主数据!$D$2:$D$101,MATCH($E357,销售员主数据!$A$2:$A$101,0)),"")</f>
        <v/>
      </c>
      <c r="I357" s="43" t="n"/>
      <c r="J357" s="43" t="n"/>
      <c r="K357" s="44" t="n"/>
      <c r="L357" s="58" t="n"/>
      <c r="M357" s="59" t="n"/>
      <c r="N357" s="60">
        <f>IF(COUNTBLANK(A357:L357)=12,"",1)</f>
        <v/>
      </c>
      <c r="O357" s="42" t="n"/>
    </row>
    <row r="358" ht="15" customHeight="1" s="34">
      <c r="A358" s="46" t="n"/>
      <c r="B358" s="39">
        <f>IF(A358="","",TEXT(A358,"mmm"))</f>
        <v/>
      </c>
      <c r="C358" s="39" t="n"/>
      <c r="D358" s="40" t="n"/>
      <c r="E358" s="39" t="n"/>
      <c r="F358" s="39">
        <f>IFERROR(INDEX(销售员主数据!$B$2:$B$101,MATCH($E358,销售员主数据!$A$2:$A$101,0)),"")</f>
        <v/>
      </c>
      <c r="G358" s="39">
        <f>IFERROR(INDEX(销售员主数据!$C$2:$C$101,MATCH($E358,销售员主数据!$A$2:$A$101,0)),"")</f>
        <v/>
      </c>
      <c r="H358" s="39">
        <f>IFERROR(INDEX(销售员主数据!$D$2:$D$101,MATCH($E358,销售员主数据!$A$2:$A$101,0)),"")</f>
        <v/>
      </c>
      <c r="I358" s="50" t="n"/>
      <c r="J358" s="50" t="n"/>
      <c r="K358" s="54" t="n"/>
      <c r="L358" s="55" t="n"/>
      <c r="M358" s="56" t="n"/>
      <c r="N358" s="57">
        <f>IF(COUNTBLANK(A358:L358)=12,"",1)</f>
        <v/>
      </c>
      <c r="O358" s="40" t="n"/>
    </row>
    <row r="359" ht="15" customHeight="1" s="34">
      <c r="A359" s="48" t="n"/>
      <c r="B359" s="41">
        <f>IF(A359="","",TEXT(A359,"mmm"))</f>
        <v/>
      </c>
      <c r="C359" s="41" t="n"/>
      <c r="D359" s="42" t="n"/>
      <c r="E359" s="41" t="n"/>
      <c r="F359" s="41">
        <f>IFERROR(INDEX(销售员主数据!$B$2:$B$101,MATCH($E359,销售员主数据!$A$2:$A$101,0)),"")</f>
        <v/>
      </c>
      <c r="G359" s="41">
        <f>IFERROR(INDEX(销售员主数据!$C$2:$C$101,MATCH($E359,销售员主数据!$A$2:$A$101,0)),"")</f>
        <v/>
      </c>
      <c r="H359" s="41">
        <f>IFERROR(INDEX(销售员主数据!$D$2:$D$101,MATCH($E359,销售员主数据!$A$2:$A$101,0)),"")</f>
        <v/>
      </c>
      <c r="I359" s="43" t="n"/>
      <c r="J359" s="43" t="n"/>
      <c r="K359" s="44" t="n"/>
      <c r="L359" s="58" t="n"/>
      <c r="M359" s="59" t="n"/>
      <c r="N359" s="60">
        <f>IF(COUNTBLANK(A359:L359)=12,"",1)</f>
        <v/>
      </c>
      <c r="O359" s="42" t="n"/>
    </row>
    <row r="360" ht="15" customHeight="1" s="34">
      <c r="A360" s="46" t="n"/>
      <c r="B360" s="39">
        <f>IF(A360="","",TEXT(A360,"mmm"))</f>
        <v/>
      </c>
      <c r="C360" s="39" t="n"/>
      <c r="D360" s="40" t="n"/>
      <c r="E360" s="39" t="n"/>
      <c r="F360" s="39">
        <f>IFERROR(INDEX(销售员主数据!$B$2:$B$101,MATCH($E360,销售员主数据!$A$2:$A$101,0)),"")</f>
        <v/>
      </c>
      <c r="G360" s="39">
        <f>IFERROR(INDEX(销售员主数据!$C$2:$C$101,MATCH($E360,销售员主数据!$A$2:$A$101,0)),"")</f>
        <v/>
      </c>
      <c r="H360" s="39">
        <f>IFERROR(INDEX(销售员主数据!$D$2:$D$101,MATCH($E360,销售员主数据!$A$2:$A$101,0)),"")</f>
        <v/>
      </c>
      <c r="I360" s="50" t="n"/>
      <c r="J360" s="50" t="n"/>
      <c r="K360" s="54" t="n"/>
      <c r="L360" s="55" t="n"/>
      <c r="M360" s="56" t="n"/>
      <c r="N360" s="57">
        <f>IF(COUNTBLANK(A360:L360)=12,"",1)</f>
        <v/>
      </c>
      <c r="O360" s="40" t="n"/>
    </row>
    <row r="361" ht="15" customHeight="1" s="34">
      <c r="A361" s="48" t="n"/>
      <c r="B361" s="41">
        <f>IF(A361="","",TEXT(A361,"mmm"))</f>
        <v/>
      </c>
      <c r="C361" s="41" t="n"/>
      <c r="D361" s="42" t="n"/>
      <c r="E361" s="41" t="n"/>
      <c r="F361" s="41">
        <f>IFERROR(INDEX(销售员主数据!$B$2:$B$101,MATCH($E361,销售员主数据!$A$2:$A$101,0)),"")</f>
        <v/>
      </c>
      <c r="G361" s="41">
        <f>IFERROR(INDEX(销售员主数据!$C$2:$C$101,MATCH($E361,销售员主数据!$A$2:$A$101,0)),"")</f>
        <v/>
      </c>
      <c r="H361" s="41">
        <f>IFERROR(INDEX(销售员主数据!$D$2:$D$101,MATCH($E361,销售员主数据!$A$2:$A$101,0)),"")</f>
        <v/>
      </c>
      <c r="I361" s="43" t="n"/>
      <c r="J361" s="43" t="n"/>
      <c r="K361" s="44" t="n"/>
      <c r="L361" s="58" t="n"/>
      <c r="M361" s="59" t="n"/>
      <c r="N361" s="60">
        <f>IF(COUNTBLANK(A361:L361)=12,"",1)</f>
        <v/>
      </c>
      <c r="O361" s="42" t="n"/>
    </row>
    <row r="362" ht="15" customHeight="1" s="34">
      <c r="A362" s="46" t="n"/>
      <c r="B362" s="39">
        <f>IF(A362="","",TEXT(A362,"mmm"))</f>
        <v/>
      </c>
      <c r="C362" s="39" t="n"/>
      <c r="D362" s="40" t="n"/>
      <c r="E362" s="39" t="n"/>
      <c r="F362" s="39">
        <f>IFERROR(INDEX(销售员主数据!$B$2:$B$101,MATCH($E362,销售员主数据!$A$2:$A$101,0)),"")</f>
        <v/>
      </c>
      <c r="G362" s="39">
        <f>IFERROR(INDEX(销售员主数据!$C$2:$C$101,MATCH($E362,销售员主数据!$A$2:$A$101,0)),"")</f>
        <v/>
      </c>
      <c r="H362" s="39">
        <f>IFERROR(INDEX(销售员主数据!$D$2:$D$101,MATCH($E362,销售员主数据!$A$2:$A$101,0)),"")</f>
        <v/>
      </c>
      <c r="I362" s="50" t="n"/>
      <c r="J362" s="50" t="n"/>
      <c r="K362" s="54" t="n"/>
      <c r="L362" s="55" t="n"/>
      <c r="M362" s="56" t="n"/>
      <c r="N362" s="57">
        <f>IF(COUNTBLANK(A362:L362)=12,"",1)</f>
        <v/>
      </c>
      <c r="O362" s="40" t="n"/>
    </row>
    <row r="363" ht="15" customHeight="1" s="34">
      <c r="A363" s="48" t="n"/>
      <c r="B363" s="41">
        <f>IF(A363="","",TEXT(A363,"mmm"))</f>
        <v/>
      </c>
      <c r="C363" s="41" t="n"/>
      <c r="D363" s="42" t="n"/>
      <c r="E363" s="41" t="n"/>
      <c r="F363" s="41">
        <f>IFERROR(INDEX(销售员主数据!$B$2:$B$101,MATCH($E363,销售员主数据!$A$2:$A$101,0)),"")</f>
        <v/>
      </c>
      <c r="G363" s="41">
        <f>IFERROR(INDEX(销售员主数据!$C$2:$C$101,MATCH($E363,销售员主数据!$A$2:$A$101,0)),"")</f>
        <v/>
      </c>
      <c r="H363" s="41">
        <f>IFERROR(INDEX(销售员主数据!$D$2:$D$101,MATCH($E363,销售员主数据!$A$2:$A$101,0)),"")</f>
        <v/>
      </c>
      <c r="I363" s="43" t="n"/>
      <c r="J363" s="43" t="n"/>
      <c r="K363" s="44" t="n"/>
      <c r="L363" s="58" t="n"/>
      <c r="M363" s="59" t="n"/>
      <c r="N363" s="60">
        <f>IF(COUNTBLANK(A363:L363)=12,"",1)</f>
        <v/>
      </c>
      <c r="O363" s="42" t="n"/>
    </row>
    <row r="364" ht="15" customHeight="1" s="34">
      <c r="A364" s="46" t="n"/>
      <c r="B364" s="39">
        <f>IF(A364="","",TEXT(A364,"mmm"))</f>
        <v/>
      </c>
      <c r="C364" s="39" t="n"/>
      <c r="D364" s="40" t="n"/>
      <c r="E364" s="39" t="n"/>
      <c r="F364" s="39">
        <f>IFERROR(INDEX(销售员主数据!$B$2:$B$101,MATCH($E364,销售员主数据!$A$2:$A$101,0)),"")</f>
        <v/>
      </c>
      <c r="G364" s="39">
        <f>IFERROR(INDEX(销售员主数据!$C$2:$C$101,MATCH($E364,销售员主数据!$A$2:$A$101,0)),"")</f>
        <v/>
      </c>
      <c r="H364" s="39">
        <f>IFERROR(INDEX(销售员主数据!$D$2:$D$101,MATCH($E364,销售员主数据!$A$2:$A$101,0)),"")</f>
        <v/>
      </c>
      <c r="I364" s="50" t="n"/>
      <c r="J364" s="50" t="n"/>
      <c r="K364" s="54" t="n"/>
      <c r="L364" s="55" t="n"/>
      <c r="M364" s="56" t="n"/>
      <c r="N364" s="57">
        <f>IF(COUNTBLANK(A364:L364)=12,"",1)</f>
        <v/>
      </c>
      <c r="O364" s="40" t="n"/>
    </row>
    <row r="365" ht="15" customHeight="1" s="34">
      <c r="A365" s="48" t="n"/>
      <c r="B365" s="41">
        <f>IF(A365="","",TEXT(A365,"mmm"))</f>
        <v/>
      </c>
      <c r="C365" s="41" t="n"/>
      <c r="D365" s="42" t="n"/>
      <c r="E365" s="41" t="n"/>
      <c r="F365" s="41">
        <f>IFERROR(INDEX(销售员主数据!$B$2:$B$101,MATCH($E365,销售员主数据!$A$2:$A$101,0)),"")</f>
        <v/>
      </c>
      <c r="G365" s="41">
        <f>IFERROR(INDEX(销售员主数据!$C$2:$C$101,MATCH($E365,销售员主数据!$A$2:$A$101,0)),"")</f>
        <v/>
      </c>
      <c r="H365" s="41">
        <f>IFERROR(INDEX(销售员主数据!$D$2:$D$101,MATCH($E365,销售员主数据!$A$2:$A$101,0)),"")</f>
        <v/>
      </c>
      <c r="I365" s="43" t="n"/>
      <c r="J365" s="43" t="n"/>
      <c r="K365" s="44" t="n"/>
      <c r="L365" s="58" t="n"/>
      <c r="M365" s="59" t="n"/>
      <c r="N365" s="60">
        <f>IF(COUNTBLANK(A365:L365)=12,"",1)</f>
        <v/>
      </c>
      <c r="O365" s="42" t="n"/>
    </row>
    <row r="366" ht="15" customHeight="1" s="34">
      <c r="A366" s="46" t="n"/>
      <c r="B366" s="39">
        <f>IF(A366="","",TEXT(A366,"mmm"))</f>
        <v/>
      </c>
      <c r="C366" s="39" t="n"/>
      <c r="D366" s="40" t="n"/>
      <c r="E366" s="39" t="n"/>
      <c r="F366" s="39">
        <f>IFERROR(INDEX(销售员主数据!$B$2:$B$101,MATCH($E366,销售员主数据!$A$2:$A$101,0)),"")</f>
        <v/>
      </c>
      <c r="G366" s="39">
        <f>IFERROR(INDEX(销售员主数据!$C$2:$C$101,MATCH($E366,销售员主数据!$A$2:$A$101,0)),"")</f>
        <v/>
      </c>
      <c r="H366" s="39">
        <f>IFERROR(INDEX(销售员主数据!$D$2:$D$101,MATCH($E366,销售员主数据!$A$2:$A$101,0)),"")</f>
        <v/>
      </c>
      <c r="I366" s="50" t="n"/>
      <c r="J366" s="50" t="n"/>
      <c r="K366" s="54" t="n"/>
      <c r="L366" s="55" t="n"/>
      <c r="M366" s="56" t="n"/>
      <c r="N366" s="57">
        <f>IF(COUNTBLANK(A366:L366)=12,"",1)</f>
        <v/>
      </c>
      <c r="O366" s="40" t="n"/>
    </row>
    <row r="367" ht="15" customHeight="1" s="34">
      <c r="A367" s="48" t="n"/>
      <c r="B367" s="41">
        <f>IF(A367="","",TEXT(A367,"mmm"))</f>
        <v/>
      </c>
      <c r="C367" s="41" t="n"/>
      <c r="D367" s="42" t="n"/>
      <c r="E367" s="41" t="n"/>
      <c r="F367" s="41">
        <f>IFERROR(INDEX(销售员主数据!$B$2:$B$101,MATCH($E367,销售员主数据!$A$2:$A$101,0)),"")</f>
        <v/>
      </c>
      <c r="G367" s="41">
        <f>IFERROR(INDEX(销售员主数据!$C$2:$C$101,MATCH($E367,销售员主数据!$A$2:$A$101,0)),"")</f>
        <v/>
      </c>
      <c r="H367" s="41">
        <f>IFERROR(INDEX(销售员主数据!$D$2:$D$101,MATCH($E367,销售员主数据!$A$2:$A$101,0)),"")</f>
        <v/>
      </c>
      <c r="I367" s="43" t="n"/>
      <c r="J367" s="43" t="n"/>
      <c r="K367" s="44" t="n"/>
      <c r="L367" s="58" t="n"/>
      <c r="M367" s="59" t="n"/>
      <c r="N367" s="60">
        <f>IF(COUNTBLANK(A367:L367)=12,"",1)</f>
        <v/>
      </c>
      <c r="O367" s="42" t="n"/>
    </row>
    <row r="368" ht="15" customHeight="1" s="34">
      <c r="A368" s="46" t="n"/>
      <c r="B368" s="39">
        <f>IF(A368="","",TEXT(A368,"mmm"))</f>
        <v/>
      </c>
      <c r="C368" s="39" t="n"/>
      <c r="D368" s="40" t="n"/>
      <c r="E368" s="39" t="n"/>
      <c r="F368" s="39">
        <f>IFERROR(INDEX(销售员主数据!$B$2:$B$101,MATCH($E368,销售员主数据!$A$2:$A$101,0)),"")</f>
        <v/>
      </c>
      <c r="G368" s="39">
        <f>IFERROR(INDEX(销售员主数据!$C$2:$C$101,MATCH($E368,销售员主数据!$A$2:$A$101,0)),"")</f>
        <v/>
      </c>
      <c r="H368" s="39">
        <f>IFERROR(INDEX(销售员主数据!$D$2:$D$101,MATCH($E368,销售员主数据!$A$2:$A$101,0)),"")</f>
        <v/>
      </c>
      <c r="I368" s="50" t="n"/>
      <c r="J368" s="50" t="n"/>
      <c r="K368" s="54" t="n"/>
      <c r="L368" s="55" t="n"/>
      <c r="M368" s="56" t="n"/>
      <c r="N368" s="57">
        <f>IF(COUNTBLANK(A368:L368)=12,"",1)</f>
        <v/>
      </c>
      <c r="O368" s="40" t="n"/>
    </row>
    <row r="369" ht="15" customHeight="1" s="34">
      <c r="A369" s="48" t="n"/>
      <c r="B369" s="41">
        <f>IF(A369="","",TEXT(A369,"mmm"))</f>
        <v/>
      </c>
      <c r="C369" s="41" t="n"/>
      <c r="D369" s="42" t="n"/>
      <c r="E369" s="41" t="n"/>
      <c r="F369" s="41">
        <f>IFERROR(INDEX(销售员主数据!$B$2:$B$101,MATCH($E369,销售员主数据!$A$2:$A$101,0)),"")</f>
        <v/>
      </c>
      <c r="G369" s="41">
        <f>IFERROR(INDEX(销售员主数据!$C$2:$C$101,MATCH($E369,销售员主数据!$A$2:$A$101,0)),"")</f>
        <v/>
      </c>
      <c r="H369" s="41">
        <f>IFERROR(INDEX(销售员主数据!$D$2:$D$101,MATCH($E369,销售员主数据!$A$2:$A$101,0)),"")</f>
        <v/>
      </c>
      <c r="I369" s="43" t="n"/>
      <c r="J369" s="43" t="n"/>
      <c r="K369" s="44" t="n"/>
      <c r="L369" s="58" t="n"/>
      <c r="M369" s="59" t="n"/>
      <c r="N369" s="60">
        <f>IF(COUNTBLANK(A369:L369)=12,"",1)</f>
        <v/>
      </c>
      <c r="O369" s="42" t="n"/>
    </row>
    <row r="370" ht="15" customHeight="1" s="34">
      <c r="A370" s="46" t="n"/>
      <c r="B370" s="39">
        <f>IF(A370="","",TEXT(A370,"mmm"))</f>
        <v/>
      </c>
      <c r="C370" s="39" t="n"/>
      <c r="D370" s="40" t="n"/>
      <c r="E370" s="39" t="n"/>
      <c r="F370" s="39">
        <f>IFERROR(INDEX(销售员主数据!$B$2:$B$101,MATCH($E370,销售员主数据!$A$2:$A$101,0)),"")</f>
        <v/>
      </c>
      <c r="G370" s="39">
        <f>IFERROR(INDEX(销售员主数据!$C$2:$C$101,MATCH($E370,销售员主数据!$A$2:$A$101,0)),"")</f>
        <v/>
      </c>
      <c r="H370" s="39">
        <f>IFERROR(INDEX(销售员主数据!$D$2:$D$101,MATCH($E370,销售员主数据!$A$2:$A$101,0)),"")</f>
        <v/>
      </c>
      <c r="I370" s="50" t="n"/>
      <c r="J370" s="50" t="n"/>
      <c r="K370" s="54" t="n"/>
      <c r="L370" s="55" t="n"/>
      <c r="M370" s="56" t="n"/>
      <c r="N370" s="57">
        <f>IF(COUNTBLANK(A370:L370)=12,"",1)</f>
        <v/>
      </c>
      <c r="O370" s="40" t="n"/>
    </row>
    <row r="371" ht="15" customHeight="1" s="34">
      <c r="A371" s="48" t="n"/>
      <c r="B371" s="41">
        <f>IF(A371="","",TEXT(A371,"mmm"))</f>
        <v/>
      </c>
      <c r="C371" s="41" t="n"/>
      <c r="D371" s="42" t="n"/>
      <c r="E371" s="41" t="n"/>
      <c r="F371" s="41">
        <f>IFERROR(INDEX(销售员主数据!$B$2:$B$101,MATCH($E371,销售员主数据!$A$2:$A$101,0)),"")</f>
        <v/>
      </c>
      <c r="G371" s="41">
        <f>IFERROR(INDEX(销售员主数据!$C$2:$C$101,MATCH($E371,销售员主数据!$A$2:$A$101,0)),"")</f>
        <v/>
      </c>
      <c r="H371" s="41">
        <f>IFERROR(INDEX(销售员主数据!$D$2:$D$101,MATCH($E371,销售员主数据!$A$2:$A$101,0)),"")</f>
        <v/>
      </c>
      <c r="I371" s="43" t="n"/>
      <c r="J371" s="43" t="n"/>
      <c r="K371" s="44" t="n"/>
      <c r="L371" s="58" t="n"/>
      <c r="M371" s="59" t="n"/>
      <c r="N371" s="60">
        <f>IF(COUNTBLANK(A371:L371)=12,"",1)</f>
        <v/>
      </c>
      <c r="O371" s="42" t="n"/>
    </row>
    <row r="372" ht="15" customHeight="1" s="34">
      <c r="A372" s="46" t="n"/>
      <c r="B372" s="39">
        <f>IF(A372="","",TEXT(A372,"mmm"))</f>
        <v/>
      </c>
      <c r="C372" s="39" t="n"/>
      <c r="D372" s="40" t="n"/>
      <c r="E372" s="39" t="n"/>
      <c r="F372" s="39">
        <f>IFERROR(INDEX(销售员主数据!$B$2:$B$101,MATCH($E372,销售员主数据!$A$2:$A$101,0)),"")</f>
        <v/>
      </c>
      <c r="G372" s="39">
        <f>IFERROR(INDEX(销售员主数据!$C$2:$C$101,MATCH($E372,销售员主数据!$A$2:$A$101,0)),"")</f>
        <v/>
      </c>
      <c r="H372" s="39">
        <f>IFERROR(INDEX(销售员主数据!$D$2:$D$101,MATCH($E372,销售员主数据!$A$2:$A$101,0)),"")</f>
        <v/>
      </c>
      <c r="I372" s="50" t="n"/>
      <c r="J372" s="50" t="n"/>
      <c r="K372" s="54" t="n"/>
      <c r="L372" s="55" t="n"/>
      <c r="M372" s="56" t="n"/>
      <c r="N372" s="57">
        <f>IF(COUNTBLANK(A372:L372)=12,"",1)</f>
        <v/>
      </c>
      <c r="O372" s="40" t="n"/>
    </row>
    <row r="373" ht="15" customHeight="1" s="34">
      <c r="A373" s="48" t="n"/>
      <c r="B373" s="41">
        <f>IF(A373="","",TEXT(A373,"mmm"))</f>
        <v/>
      </c>
      <c r="C373" s="41" t="n"/>
      <c r="D373" s="42" t="n"/>
      <c r="E373" s="41" t="n"/>
      <c r="F373" s="41">
        <f>IFERROR(INDEX(销售员主数据!$B$2:$B$101,MATCH($E373,销售员主数据!$A$2:$A$101,0)),"")</f>
        <v/>
      </c>
      <c r="G373" s="41">
        <f>IFERROR(INDEX(销售员主数据!$C$2:$C$101,MATCH($E373,销售员主数据!$A$2:$A$101,0)),"")</f>
        <v/>
      </c>
      <c r="H373" s="41">
        <f>IFERROR(INDEX(销售员主数据!$D$2:$D$101,MATCH($E373,销售员主数据!$A$2:$A$101,0)),"")</f>
        <v/>
      </c>
      <c r="I373" s="43" t="n"/>
      <c r="J373" s="43" t="n"/>
      <c r="K373" s="44" t="n"/>
      <c r="L373" s="58" t="n"/>
      <c r="M373" s="59" t="n"/>
      <c r="N373" s="60">
        <f>IF(COUNTBLANK(A373:L373)=12,"",1)</f>
        <v/>
      </c>
      <c r="O373" s="42" t="n"/>
    </row>
    <row r="374" ht="15" customHeight="1" s="34">
      <c r="A374" s="46" t="n"/>
      <c r="B374" s="39">
        <f>IF(A374="","",TEXT(A374,"mmm"))</f>
        <v/>
      </c>
      <c r="C374" s="39" t="n"/>
      <c r="D374" s="40" t="n"/>
      <c r="E374" s="39" t="n"/>
      <c r="F374" s="39">
        <f>IFERROR(INDEX(销售员主数据!$B$2:$B$101,MATCH($E374,销售员主数据!$A$2:$A$101,0)),"")</f>
        <v/>
      </c>
      <c r="G374" s="39">
        <f>IFERROR(INDEX(销售员主数据!$C$2:$C$101,MATCH($E374,销售员主数据!$A$2:$A$101,0)),"")</f>
        <v/>
      </c>
      <c r="H374" s="39">
        <f>IFERROR(INDEX(销售员主数据!$D$2:$D$101,MATCH($E374,销售员主数据!$A$2:$A$101,0)),"")</f>
        <v/>
      </c>
      <c r="I374" s="50" t="n"/>
      <c r="J374" s="50" t="n"/>
      <c r="K374" s="54" t="n"/>
      <c r="L374" s="55" t="n"/>
      <c r="M374" s="56" t="n"/>
      <c r="N374" s="57">
        <f>IF(COUNTBLANK(A374:L374)=12,"",1)</f>
        <v/>
      </c>
      <c r="O374" s="40" t="n"/>
    </row>
    <row r="375" ht="15" customHeight="1" s="34">
      <c r="A375" s="48" t="n"/>
      <c r="B375" s="41">
        <f>IF(A375="","",TEXT(A375,"mmm"))</f>
        <v/>
      </c>
      <c r="C375" s="41" t="n"/>
      <c r="D375" s="42" t="n"/>
      <c r="E375" s="41" t="n"/>
      <c r="F375" s="41">
        <f>IFERROR(INDEX(销售员主数据!$B$2:$B$101,MATCH($E375,销售员主数据!$A$2:$A$101,0)),"")</f>
        <v/>
      </c>
      <c r="G375" s="41">
        <f>IFERROR(INDEX(销售员主数据!$C$2:$C$101,MATCH($E375,销售员主数据!$A$2:$A$101,0)),"")</f>
        <v/>
      </c>
      <c r="H375" s="41">
        <f>IFERROR(INDEX(销售员主数据!$D$2:$D$101,MATCH($E375,销售员主数据!$A$2:$A$101,0)),"")</f>
        <v/>
      </c>
      <c r="I375" s="43" t="n"/>
      <c r="J375" s="43" t="n"/>
      <c r="K375" s="44" t="n"/>
      <c r="L375" s="58" t="n"/>
      <c r="M375" s="59" t="n"/>
      <c r="N375" s="60">
        <f>IF(COUNTBLANK(A375:L375)=12,"",1)</f>
        <v/>
      </c>
      <c r="O375" s="42" t="n"/>
    </row>
    <row r="376" ht="15" customHeight="1" s="34">
      <c r="A376" s="46" t="n"/>
      <c r="B376" s="39">
        <f>IF(A376="","",TEXT(A376,"mmm"))</f>
        <v/>
      </c>
      <c r="C376" s="39" t="n"/>
      <c r="D376" s="40" t="n"/>
      <c r="E376" s="39" t="n"/>
      <c r="F376" s="39">
        <f>IFERROR(INDEX(销售员主数据!$B$2:$B$101,MATCH($E376,销售员主数据!$A$2:$A$101,0)),"")</f>
        <v/>
      </c>
      <c r="G376" s="39">
        <f>IFERROR(INDEX(销售员主数据!$C$2:$C$101,MATCH($E376,销售员主数据!$A$2:$A$101,0)),"")</f>
        <v/>
      </c>
      <c r="H376" s="39">
        <f>IFERROR(INDEX(销售员主数据!$D$2:$D$101,MATCH($E376,销售员主数据!$A$2:$A$101,0)),"")</f>
        <v/>
      </c>
      <c r="I376" s="50" t="n"/>
      <c r="J376" s="50" t="n"/>
      <c r="K376" s="54" t="n"/>
      <c r="L376" s="55" t="n"/>
      <c r="M376" s="56" t="n"/>
      <c r="N376" s="57">
        <f>IF(COUNTBLANK(A376:L376)=12,"",1)</f>
        <v/>
      </c>
      <c r="O376" s="40" t="n"/>
    </row>
    <row r="377" ht="15" customHeight="1" s="34">
      <c r="A377" s="48" t="n"/>
      <c r="B377" s="41">
        <f>IF(A377="","",TEXT(A377,"mmm"))</f>
        <v/>
      </c>
      <c r="C377" s="41" t="n"/>
      <c r="D377" s="42" t="n"/>
      <c r="E377" s="41" t="n"/>
      <c r="F377" s="41">
        <f>IFERROR(INDEX(销售员主数据!$B$2:$B$101,MATCH($E377,销售员主数据!$A$2:$A$101,0)),"")</f>
        <v/>
      </c>
      <c r="G377" s="41">
        <f>IFERROR(INDEX(销售员主数据!$C$2:$C$101,MATCH($E377,销售员主数据!$A$2:$A$101,0)),"")</f>
        <v/>
      </c>
      <c r="H377" s="41">
        <f>IFERROR(INDEX(销售员主数据!$D$2:$D$101,MATCH($E377,销售员主数据!$A$2:$A$101,0)),"")</f>
        <v/>
      </c>
      <c r="I377" s="43" t="n"/>
      <c r="J377" s="43" t="n"/>
      <c r="K377" s="44" t="n"/>
      <c r="L377" s="58" t="n"/>
      <c r="M377" s="59" t="n"/>
      <c r="N377" s="60">
        <f>IF(COUNTBLANK(A377:L377)=12,"",1)</f>
        <v/>
      </c>
      <c r="O377" s="42" t="n"/>
    </row>
    <row r="378" ht="15" customHeight="1" s="34">
      <c r="A378" s="46" t="n"/>
      <c r="B378" s="39">
        <f>IF(A378="","",TEXT(A378,"mmm"))</f>
        <v/>
      </c>
      <c r="C378" s="39" t="n"/>
      <c r="D378" s="40" t="n"/>
      <c r="E378" s="39" t="n"/>
      <c r="F378" s="39">
        <f>IFERROR(INDEX(销售员主数据!$B$2:$B$101,MATCH($E378,销售员主数据!$A$2:$A$101,0)),"")</f>
        <v/>
      </c>
      <c r="G378" s="39">
        <f>IFERROR(INDEX(销售员主数据!$C$2:$C$101,MATCH($E378,销售员主数据!$A$2:$A$101,0)),"")</f>
        <v/>
      </c>
      <c r="H378" s="39">
        <f>IFERROR(INDEX(销售员主数据!$D$2:$D$101,MATCH($E378,销售员主数据!$A$2:$A$101,0)),"")</f>
        <v/>
      </c>
      <c r="I378" s="50" t="n"/>
      <c r="J378" s="50" t="n"/>
      <c r="K378" s="54" t="n"/>
      <c r="L378" s="55" t="n"/>
      <c r="M378" s="56" t="n"/>
      <c r="N378" s="57">
        <f>IF(COUNTBLANK(A378:L378)=12,"",1)</f>
        <v/>
      </c>
      <c r="O378" s="40" t="n"/>
    </row>
    <row r="379" ht="15" customHeight="1" s="34">
      <c r="A379" s="48" t="n"/>
      <c r="B379" s="41">
        <f>IF(A379="","",TEXT(A379,"mmm"))</f>
        <v/>
      </c>
      <c r="C379" s="41" t="n"/>
      <c r="D379" s="42" t="n"/>
      <c r="E379" s="41" t="n"/>
      <c r="F379" s="41">
        <f>IFERROR(INDEX(销售员主数据!$B$2:$B$101,MATCH($E379,销售员主数据!$A$2:$A$101,0)),"")</f>
        <v/>
      </c>
      <c r="G379" s="41">
        <f>IFERROR(INDEX(销售员主数据!$C$2:$C$101,MATCH($E379,销售员主数据!$A$2:$A$101,0)),"")</f>
        <v/>
      </c>
      <c r="H379" s="41">
        <f>IFERROR(INDEX(销售员主数据!$D$2:$D$101,MATCH($E379,销售员主数据!$A$2:$A$101,0)),"")</f>
        <v/>
      </c>
      <c r="I379" s="43" t="n"/>
      <c r="J379" s="43" t="n"/>
      <c r="K379" s="44" t="n"/>
      <c r="L379" s="58" t="n"/>
      <c r="M379" s="59" t="n"/>
      <c r="N379" s="60">
        <f>IF(COUNTBLANK(A379:L379)=12,"",1)</f>
        <v/>
      </c>
      <c r="O379" s="42" t="n"/>
    </row>
    <row r="380" ht="15" customHeight="1" s="34">
      <c r="A380" s="46" t="n"/>
      <c r="B380" s="39">
        <f>IF(A380="","",TEXT(A380,"mmm"))</f>
        <v/>
      </c>
      <c r="C380" s="39" t="n"/>
      <c r="D380" s="40" t="n"/>
      <c r="E380" s="39" t="n"/>
      <c r="F380" s="39">
        <f>IFERROR(INDEX(销售员主数据!$B$2:$B$101,MATCH($E380,销售员主数据!$A$2:$A$101,0)),"")</f>
        <v/>
      </c>
      <c r="G380" s="39">
        <f>IFERROR(INDEX(销售员主数据!$C$2:$C$101,MATCH($E380,销售员主数据!$A$2:$A$101,0)),"")</f>
        <v/>
      </c>
      <c r="H380" s="39">
        <f>IFERROR(INDEX(销售员主数据!$D$2:$D$101,MATCH($E380,销售员主数据!$A$2:$A$101,0)),"")</f>
        <v/>
      </c>
      <c r="I380" s="50" t="n"/>
      <c r="J380" s="50" t="n"/>
      <c r="K380" s="54" t="n"/>
      <c r="L380" s="55" t="n"/>
      <c r="M380" s="56" t="n"/>
      <c r="N380" s="57">
        <f>IF(COUNTBLANK(A380:L380)=12,"",1)</f>
        <v/>
      </c>
      <c r="O380" s="40" t="n"/>
    </row>
    <row r="381" ht="15" customHeight="1" s="34">
      <c r="A381" s="48" t="n"/>
      <c r="B381" s="41">
        <f>IF(A381="","",TEXT(A381,"mmm"))</f>
        <v/>
      </c>
      <c r="C381" s="41" t="n"/>
      <c r="D381" s="42" t="n"/>
      <c r="E381" s="41" t="n"/>
      <c r="F381" s="41">
        <f>IFERROR(INDEX(销售员主数据!$B$2:$B$101,MATCH($E381,销售员主数据!$A$2:$A$101,0)),"")</f>
        <v/>
      </c>
      <c r="G381" s="41">
        <f>IFERROR(INDEX(销售员主数据!$C$2:$C$101,MATCH($E381,销售员主数据!$A$2:$A$101,0)),"")</f>
        <v/>
      </c>
      <c r="H381" s="41">
        <f>IFERROR(INDEX(销售员主数据!$D$2:$D$101,MATCH($E381,销售员主数据!$A$2:$A$101,0)),"")</f>
        <v/>
      </c>
      <c r="I381" s="43" t="n"/>
      <c r="J381" s="43" t="n"/>
      <c r="K381" s="44" t="n"/>
      <c r="L381" s="58" t="n"/>
      <c r="M381" s="59" t="n"/>
      <c r="N381" s="60">
        <f>IF(COUNTBLANK(A381:L381)=12,"",1)</f>
        <v/>
      </c>
      <c r="O381" s="42" t="n"/>
    </row>
    <row r="382" ht="15" customHeight="1" s="34">
      <c r="A382" s="46" t="n"/>
      <c r="B382" s="39">
        <f>IF(A382="","",TEXT(A382,"mmm"))</f>
        <v/>
      </c>
      <c r="C382" s="39" t="n"/>
      <c r="D382" s="40" t="n"/>
      <c r="E382" s="39" t="n"/>
      <c r="F382" s="39">
        <f>IFERROR(INDEX(销售员主数据!$B$2:$B$101,MATCH($E382,销售员主数据!$A$2:$A$101,0)),"")</f>
        <v/>
      </c>
      <c r="G382" s="39">
        <f>IFERROR(INDEX(销售员主数据!$C$2:$C$101,MATCH($E382,销售员主数据!$A$2:$A$101,0)),"")</f>
        <v/>
      </c>
      <c r="H382" s="39">
        <f>IFERROR(INDEX(销售员主数据!$D$2:$D$101,MATCH($E382,销售员主数据!$A$2:$A$101,0)),"")</f>
        <v/>
      </c>
      <c r="I382" s="50" t="n"/>
      <c r="J382" s="50" t="n"/>
      <c r="K382" s="54" t="n"/>
      <c r="L382" s="55" t="n"/>
      <c r="M382" s="56" t="n"/>
      <c r="N382" s="57">
        <f>IF(COUNTBLANK(A382:L382)=12,"",1)</f>
        <v/>
      </c>
      <c r="O382" s="40" t="n"/>
    </row>
    <row r="383" ht="15" customHeight="1" s="34">
      <c r="A383" s="48" t="n"/>
      <c r="B383" s="41">
        <f>IF(A383="","",TEXT(A383,"mmm"))</f>
        <v/>
      </c>
      <c r="C383" s="41" t="n"/>
      <c r="D383" s="42" t="n"/>
      <c r="E383" s="41" t="n"/>
      <c r="F383" s="41">
        <f>IFERROR(INDEX(销售员主数据!$B$2:$B$101,MATCH($E383,销售员主数据!$A$2:$A$101,0)),"")</f>
        <v/>
      </c>
      <c r="G383" s="41">
        <f>IFERROR(INDEX(销售员主数据!$C$2:$C$101,MATCH($E383,销售员主数据!$A$2:$A$101,0)),"")</f>
        <v/>
      </c>
      <c r="H383" s="41">
        <f>IFERROR(INDEX(销售员主数据!$D$2:$D$101,MATCH($E383,销售员主数据!$A$2:$A$101,0)),"")</f>
        <v/>
      </c>
      <c r="I383" s="43" t="n"/>
      <c r="J383" s="43" t="n"/>
      <c r="K383" s="44" t="n"/>
      <c r="L383" s="58" t="n"/>
      <c r="M383" s="59" t="n"/>
      <c r="N383" s="60">
        <f>IF(COUNTBLANK(A383:L383)=12,"",1)</f>
        <v/>
      </c>
      <c r="O383" s="42" t="n"/>
    </row>
    <row r="384" ht="15" customHeight="1" s="34">
      <c r="A384" s="46" t="n"/>
      <c r="B384" s="39">
        <f>IF(A384="","",TEXT(A384,"mmm"))</f>
        <v/>
      </c>
      <c r="C384" s="39" t="n"/>
      <c r="D384" s="40" t="n"/>
      <c r="E384" s="39" t="n"/>
      <c r="F384" s="39">
        <f>IFERROR(INDEX(销售员主数据!$B$2:$B$101,MATCH($E384,销售员主数据!$A$2:$A$101,0)),"")</f>
        <v/>
      </c>
      <c r="G384" s="39">
        <f>IFERROR(INDEX(销售员主数据!$C$2:$C$101,MATCH($E384,销售员主数据!$A$2:$A$101,0)),"")</f>
        <v/>
      </c>
      <c r="H384" s="39">
        <f>IFERROR(INDEX(销售员主数据!$D$2:$D$101,MATCH($E384,销售员主数据!$A$2:$A$101,0)),"")</f>
        <v/>
      </c>
      <c r="I384" s="50" t="n"/>
      <c r="J384" s="50" t="n"/>
      <c r="K384" s="54" t="n"/>
      <c r="L384" s="55" t="n"/>
      <c r="M384" s="56" t="n"/>
      <c r="N384" s="57">
        <f>IF(COUNTBLANK(A384:L384)=12,"",1)</f>
        <v/>
      </c>
      <c r="O384" s="40" t="n"/>
    </row>
    <row r="385" ht="15" customHeight="1" s="34">
      <c r="A385" s="48" t="n"/>
      <c r="B385" s="41">
        <f>IF(A385="","",TEXT(A385,"mmm"))</f>
        <v/>
      </c>
      <c r="C385" s="41" t="n"/>
      <c r="D385" s="42" t="n"/>
      <c r="E385" s="41" t="n"/>
      <c r="F385" s="41">
        <f>IFERROR(INDEX(销售员主数据!$B$2:$B$101,MATCH($E385,销售员主数据!$A$2:$A$101,0)),"")</f>
        <v/>
      </c>
      <c r="G385" s="41">
        <f>IFERROR(INDEX(销售员主数据!$C$2:$C$101,MATCH($E385,销售员主数据!$A$2:$A$101,0)),"")</f>
        <v/>
      </c>
      <c r="H385" s="41">
        <f>IFERROR(INDEX(销售员主数据!$D$2:$D$101,MATCH($E385,销售员主数据!$A$2:$A$101,0)),"")</f>
        <v/>
      </c>
      <c r="I385" s="43" t="n"/>
      <c r="J385" s="43" t="n"/>
      <c r="K385" s="44" t="n"/>
      <c r="L385" s="58" t="n"/>
      <c r="M385" s="59" t="n"/>
      <c r="N385" s="60">
        <f>IF(COUNTBLANK(A385:L385)=12,"",1)</f>
        <v/>
      </c>
      <c r="O385" s="42" t="n"/>
    </row>
    <row r="386" ht="15" customHeight="1" s="34">
      <c r="A386" s="46" t="n"/>
      <c r="B386" s="39">
        <f>IF(A386="","",TEXT(A386,"mmm"))</f>
        <v/>
      </c>
      <c r="C386" s="39" t="n"/>
      <c r="D386" s="40" t="n"/>
      <c r="E386" s="39" t="n"/>
      <c r="F386" s="39">
        <f>IFERROR(INDEX(销售员主数据!$B$2:$B$101,MATCH($E386,销售员主数据!$A$2:$A$101,0)),"")</f>
        <v/>
      </c>
      <c r="G386" s="39">
        <f>IFERROR(INDEX(销售员主数据!$C$2:$C$101,MATCH($E386,销售员主数据!$A$2:$A$101,0)),"")</f>
        <v/>
      </c>
      <c r="H386" s="39">
        <f>IFERROR(INDEX(销售员主数据!$D$2:$D$101,MATCH($E386,销售员主数据!$A$2:$A$101,0)),"")</f>
        <v/>
      </c>
      <c r="I386" s="50" t="n"/>
      <c r="J386" s="50" t="n"/>
      <c r="K386" s="54" t="n"/>
      <c r="L386" s="55" t="n"/>
      <c r="M386" s="56" t="n"/>
      <c r="N386" s="57">
        <f>IF(COUNTBLANK(A386:L386)=12,"",1)</f>
        <v/>
      </c>
      <c r="O386" s="40" t="n"/>
    </row>
    <row r="387" ht="15" customHeight="1" s="34">
      <c r="A387" s="48" t="n"/>
      <c r="B387" s="41">
        <f>IF(A387="","",TEXT(A387,"mmm"))</f>
        <v/>
      </c>
      <c r="C387" s="41" t="n"/>
      <c r="D387" s="42" t="n"/>
      <c r="E387" s="41" t="n"/>
      <c r="F387" s="41">
        <f>IFERROR(INDEX(销售员主数据!$B$2:$B$101,MATCH($E387,销售员主数据!$A$2:$A$101,0)),"")</f>
        <v/>
      </c>
      <c r="G387" s="41">
        <f>IFERROR(INDEX(销售员主数据!$C$2:$C$101,MATCH($E387,销售员主数据!$A$2:$A$101,0)),"")</f>
        <v/>
      </c>
      <c r="H387" s="41">
        <f>IFERROR(INDEX(销售员主数据!$D$2:$D$101,MATCH($E387,销售员主数据!$A$2:$A$101,0)),"")</f>
        <v/>
      </c>
      <c r="I387" s="43" t="n"/>
      <c r="J387" s="43" t="n"/>
      <c r="K387" s="44" t="n"/>
      <c r="L387" s="58" t="n"/>
      <c r="M387" s="59" t="n"/>
      <c r="N387" s="60">
        <f>IF(COUNTBLANK(A387:L387)=12,"",1)</f>
        <v/>
      </c>
      <c r="O387" s="42" t="n"/>
    </row>
    <row r="388" ht="15" customHeight="1" s="34">
      <c r="A388" s="46" t="n"/>
      <c r="B388" s="39">
        <f>IF(A388="","",TEXT(A388,"mmm"))</f>
        <v/>
      </c>
      <c r="C388" s="39" t="n"/>
      <c r="D388" s="40" t="n"/>
      <c r="E388" s="39" t="n"/>
      <c r="F388" s="39">
        <f>IFERROR(INDEX(销售员主数据!$B$2:$B$101,MATCH($E388,销售员主数据!$A$2:$A$101,0)),"")</f>
        <v/>
      </c>
      <c r="G388" s="39">
        <f>IFERROR(INDEX(销售员主数据!$C$2:$C$101,MATCH($E388,销售员主数据!$A$2:$A$101,0)),"")</f>
        <v/>
      </c>
      <c r="H388" s="39">
        <f>IFERROR(INDEX(销售员主数据!$D$2:$D$101,MATCH($E388,销售员主数据!$A$2:$A$101,0)),"")</f>
        <v/>
      </c>
      <c r="I388" s="50" t="n"/>
      <c r="J388" s="50" t="n"/>
      <c r="K388" s="54" t="n"/>
      <c r="L388" s="55" t="n"/>
      <c r="M388" s="56" t="n"/>
      <c r="N388" s="57">
        <f>IF(COUNTBLANK(A388:L388)=12,"",1)</f>
        <v/>
      </c>
      <c r="O388" s="40" t="n"/>
    </row>
    <row r="389" ht="15" customHeight="1" s="34">
      <c r="A389" s="48" t="n"/>
      <c r="B389" s="41">
        <f>IF(A389="","",TEXT(A389,"mmm"))</f>
        <v/>
      </c>
      <c r="C389" s="41" t="n"/>
      <c r="D389" s="42" t="n"/>
      <c r="E389" s="41" t="n"/>
      <c r="F389" s="41">
        <f>IFERROR(INDEX(销售员主数据!$B$2:$B$101,MATCH($E389,销售员主数据!$A$2:$A$101,0)),"")</f>
        <v/>
      </c>
      <c r="G389" s="41">
        <f>IFERROR(INDEX(销售员主数据!$C$2:$C$101,MATCH($E389,销售员主数据!$A$2:$A$101,0)),"")</f>
        <v/>
      </c>
      <c r="H389" s="41">
        <f>IFERROR(INDEX(销售员主数据!$D$2:$D$101,MATCH($E389,销售员主数据!$A$2:$A$101,0)),"")</f>
        <v/>
      </c>
      <c r="I389" s="43" t="n"/>
      <c r="J389" s="43" t="n"/>
      <c r="K389" s="44" t="n"/>
      <c r="L389" s="58" t="n"/>
      <c r="M389" s="59" t="n"/>
      <c r="N389" s="60">
        <f>IF(COUNTBLANK(A389:L389)=12,"",1)</f>
        <v/>
      </c>
      <c r="O389" s="42" t="n"/>
    </row>
    <row r="390" ht="15" customHeight="1" s="34">
      <c r="A390" s="46" t="n"/>
      <c r="B390" s="39">
        <f>IF(A390="","",TEXT(A390,"mmm"))</f>
        <v/>
      </c>
      <c r="C390" s="39" t="n"/>
      <c r="D390" s="40" t="n"/>
      <c r="E390" s="39" t="n"/>
      <c r="F390" s="39">
        <f>IFERROR(INDEX(销售员主数据!$B$2:$B$101,MATCH($E390,销售员主数据!$A$2:$A$101,0)),"")</f>
        <v/>
      </c>
      <c r="G390" s="39">
        <f>IFERROR(INDEX(销售员主数据!$C$2:$C$101,MATCH($E390,销售员主数据!$A$2:$A$101,0)),"")</f>
        <v/>
      </c>
      <c r="H390" s="39">
        <f>IFERROR(INDEX(销售员主数据!$D$2:$D$101,MATCH($E390,销售员主数据!$A$2:$A$101,0)),"")</f>
        <v/>
      </c>
      <c r="I390" s="50" t="n"/>
      <c r="J390" s="50" t="n"/>
      <c r="K390" s="54" t="n"/>
      <c r="L390" s="55" t="n"/>
      <c r="M390" s="56" t="n"/>
      <c r="N390" s="57">
        <f>IF(COUNTBLANK(A390:L390)=12,"",1)</f>
        <v/>
      </c>
      <c r="O390" s="40" t="n"/>
    </row>
    <row r="391" ht="15" customHeight="1" s="34">
      <c r="A391" s="48" t="n"/>
      <c r="B391" s="41">
        <f>IF(A391="","",TEXT(A391,"mmm"))</f>
        <v/>
      </c>
      <c r="C391" s="41" t="n"/>
      <c r="D391" s="42" t="n"/>
      <c r="E391" s="41" t="n"/>
      <c r="F391" s="41">
        <f>IFERROR(INDEX(销售员主数据!$B$2:$B$101,MATCH($E391,销售员主数据!$A$2:$A$101,0)),"")</f>
        <v/>
      </c>
      <c r="G391" s="41">
        <f>IFERROR(INDEX(销售员主数据!$C$2:$C$101,MATCH($E391,销售员主数据!$A$2:$A$101,0)),"")</f>
        <v/>
      </c>
      <c r="H391" s="41">
        <f>IFERROR(INDEX(销售员主数据!$D$2:$D$101,MATCH($E391,销售员主数据!$A$2:$A$101,0)),"")</f>
        <v/>
      </c>
      <c r="I391" s="43" t="n"/>
      <c r="J391" s="43" t="n"/>
      <c r="K391" s="44" t="n"/>
      <c r="L391" s="58" t="n"/>
      <c r="M391" s="59" t="n"/>
      <c r="N391" s="60">
        <f>IF(COUNTBLANK(A391:L391)=12,"",1)</f>
        <v/>
      </c>
      <c r="O391" s="42" t="n"/>
    </row>
    <row r="392" ht="15" customHeight="1" s="34">
      <c r="A392" s="46" t="n"/>
      <c r="B392" s="39">
        <f>IF(A392="","",TEXT(A392,"mmm"))</f>
        <v/>
      </c>
      <c r="C392" s="39" t="n"/>
      <c r="D392" s="40" t="n"/>
      <c r="E392" s="39" t="n"/>
      <c r="F392" s="39">
        <f>IFERROR(INDEX(销售员主数据!$B$2:$B$101,MATCH($E392,销售员主数据!$A$2:$A$101,0)),"")</f>
        <v/>
      </c>
      <c r="G392" s="39">
        <f>IFERROR(INDEX(销售员主数据!$C$2:$C$101,MATCH($E392,销售员主数据!$A$2:$A$101,0)),"")</f>
        <v/>
      </c>
      <c r="H392" s="39">
        <f>IFERROR(INDEX(销售员主数据!$D$2:$D$101,MATCH($E392,销售员主数据!$A$2:$A$101,0)),"")</f>
        <v/>
      </c>
      <c r="I392" s="50" t="n"/>
      <c r="J392" s="50" t="n"/>
      <c r="K392" s="54" t="n"/>
      <c r="L392" s="55" t="n"/>
      <c r="M392" s="56" t="n"/>
      <c r="N392" s="57">
        <f>IF(COUNTBLANK(A392:L392)=12,"",1)</f>
        <v/>
      </c>
      <c r="O392" s="40" t="n"/>
    </row>
    <row r="393" ht="15" customHeight="1" s="34">
      <c r="A393" s="48" t="n"/>
      <c r="B393" s="41">
        <f>IF(A393="","",TEXT(A393,"mmm"))</f>
        <v/>
      </c>
      <c r="C393" s="41" t="n"/>
      <c r="D393" s="42" t="n"/>
      <c r="E393" s="41" t="n"/>
      <c r="F393" s="41">
        <f>IFERROR(INDEX(销售员主数据!$B$2:$B$101,MATCH($E393,销售员主数据!$A$2:$A$101,0)),"")</f>
        <v/>
      </c>
      <c r="G393" s="41">
        <f>IFERROR(INDEX(销售员主数据!$C$2:$C$101,MATCH($E393,销售员主数据!$A$2:$A$101,0)),"")</f>
        <v/>
      </c>
      <c r="H393" s="41">
        <f>IFERROR(INDEX(销售员主数据!$D$2:$D$101,MATCH($E393,销售员主数据!$A$2:$A$101,0)),"")</f>
        <v/>
      </c>
      <c r="I393" s="43" t="n"/>
      <c r="J393" s="43" t="n"/>
      <c r="K393" s="44" t="n"/>
      <c r="L393" s="58" t="n"/>
      <c r="M393" s="59" t="n"/>
      <c r="N393" s="60">
        <f>IF(COUNTBLANK(A393:L393)=12,"",1)</f>
        <v/>
      </c>
      <c r="O393" s="42" t="n"/>
    </row>
    <row r="394" ht="15" customHeight="1" s="34">
      <c r="A394" s="46" t="n"/>
      <c r="B394" s="39">
        <f>IF(A394="","",TEXT(A394,"mmm"))</f>
        <v/>
      </c>
      <c r="C394" s="39" t="n"/>
      <c r="D394" s="40" t="n"/>
      <c r="E394" s="39" t="n"/>
      <c r="F394" s="39">
        <f>IFERROR(INDEX(销售员主数据!$B$2:$B$101,MATCH($E394,销售员主数据!$A$2:$A$101,0)),"")</f>
        <v/>
      </c>
      <c r="G394" s="39">
        <f>IFERROR(INDEX(销售员主数据!$C$2:$C$101,MATCH($E394,销售员主数据!$A$2:$A$101,0)),"")</f>
        <v/>
      </c>
      <c r="H394" s="39">
        <f>IFERROR(INDEX(销售员主数据!$D$2:$D$101,MATCH($E394,销售员主数据!$A$2:$A$101,0)),"")</f>
        <v/>
      </c>
      <c r="I394" s="50" t="n"/>
      <c r="J394" s="50" t="n"/>
      <c r="K394" s="54" t="n"/>
      <c r="L394" s="55" t="n"/>
      <c r="M394" s="56" t="n"/>
      <c r="N394" s="57">
        <f>IF(COUNTBLANK(A394:L394)=12,"",1)</f>
        <v/>
      </c>
      <c r="O394" s="40" t="n"/>
    </row>
    <row r="395" ht="15" customHeight="1" s="34">
      <c r="A395" s="48" t="n"/>
      <c r="B395" s="41">
        <f>IF(A395="","",TEXT(A395,"mmm"))</f>
        <v/>
      </c>
      <c r="C395" s="41" t="n"/>
      <c r="D395" s="42" t="n"/>
      <c r="E395" s="41" t="n"/>
      <c r="F395" s="41">
        <f>IFERROR(INDEX(销售员主数据!$B$2:$B$101,MATCH($E395,销售员主数据!$A$2:$A$101,0)),"")</f>
        <v/>
      </c>
      <c r="G395" s="41">
        <f>IFERROR(INDEX(销售员主数据!$C$2:$C$101,MATCH($E395,销售员主数据!$A$2:$A$101,0)),"")</f>
        <v/>
      </c>
      <c r="H395" s="41">
        <f>IFERROR(INDEX(销售员主数据!$D$2:$D$101,MATCH($E395,销售员主数据!$A$2:$A$101,0)),"")</f>
        <v/>
      </c>
      <c r="I395" s="43" t="n"/>
      <c r="J395" s="43" t="n"/>
      <c r="K395" s="44" t="n"/>
      <c r="L395" s="58" t="n"/>
      <c r="M395" s="59" t="n"/>
      <c r="N395" s="60">
        <f>IF(COUNTBLANK(A395:L395)=12,"",1)</f>
        <v/>
      </c>
      <c r="O395" s="42" t="n"/>
    </row>
    <row r="396" ht="15" customHeight="1" s="34">
      <c r="A396" s="46" t="n"/>
      <c r="B396" s="39">
        <f>IF(A396="","",TEXT(A396,"mmm"))</f>
        <v/>
      </c>
      <c r="C396" s="39" t="n"/>
      <c r="D396" s="40" t="n"/>
      <c r="E396" s="39" t="n"/>
      <c r="F396" s="39">
        <f>IFERROR(INDEX(销售员主数据!$B$2:$B$101,MATCH($E396,销售员主数据!$A$2:$A$101,0)),"")</f>
        <v/>
      </c>
      <c r="G396" s="39">
        <f>IFERROR(INDEX(销售员主数据!$C$2:$C$101,MATCH($E396,销售员主数据!$A$2:$A$101,0)),"")</f>
        <v/>
      </c>
      <c r="H396" s="39">
        <f>IFERROR(INDEX(销售员主数据!$D$2:$D$101,MATCH($E396,销售员主数据!$A$2:$A$101,0)),"")</f>
        <v/>
      </c>
      <c r="I396" s="50" t="n"/>
      <c r="J396" s="50" t="n"/>
      <c r="K396" s="54" t="n"/>
      <c r="L396" s="55" t="n"/>
      <c r="M396" s="56" t="n"/>
      <c r="N396" s="57">
        <f>IF(COUNTBLANK(A396:L396)=12,"",1)</f>
        <v/>
      </c>
      <c r="O396" s="40" t="n"/>
    </row>
    <row r="397" ht="15" customHeight="1" s="34">
      <c r="A397" s="48" t="n"/>
      <c r="B397" s="41">
        <f>IF(A397="","",TEXT(A397,"mmm"))</f>
        <v/>
      </c>
      <c r="C397" s="41" t="n"/>
      <c r="D397" s="42" t="n"/>
      <c r="E397" s="41" t="n"/>
      <c r="F397" s="41">
        <f>IFERROR(INDEX(销售员主数据!$B$2:$B$101,MATCH($E397,销售员主数据!$A$2:$A$101,0)),"")</f>
        <v/>
      </c>
      <c r="G397" s="41">
        <f>IFERROR(INDEX(销售员主数据!$C$2:$C$101,MATCH($E397,销售员主数据!$A$2:$A$101,0)),"")</f>
        <v/>
      </c>
      <c r="H397" s="41">
        <f>IFERROR(INDEX(销售员主数据!$D$2:$D$101,MATCH($E397,销售员主数据!$A$2:$A$101,0)),"")</f>
        <v/>
      </c>
      <c r="I397" s="43" t="n"/>
      <c r="J397" s="43" t="n"/>
      <c r="K397" s="44" t="n"/>
      <c r="L397" s="58" t="n"/>
      <c r="M397" s="59" t="n"/>
      <c r="N397" s="60">
        <f>IF(COUNTBLANK(A397:L397)=12,"",1)</f>
        <v/>
      </c>
      <c r="O397" s="42" t="n"/>
    </row>
    <row r="398" ht="15" customHeight="1" s="34">
      <c r="A398" s="46" t="n"/>
      <c r="B398" s="39">
        <f>IF(A398="","",TEXT(A398,"mmm"))</f>
        <v/>
      </c>
      <c r="C398" s="39" t="n"/>
      <c r="D398" s="40" t="n"/>
      <c r="E398" s="39" t="n"/>
      <c r="F398" s="39">
        <f>IFERROR(INDEX(销售员主数据!$B$2:$B$101,MATCH($E398,销售员主数据!$A$2:$A$101,0)),"")</f>
        <v/>
      </c>
      <c r="G398" s="39">
        <f>IFERROR(INDEX(销售员主数据!$C$2:$C$101,MATCH($E398,销售员主数据!$A$2:$A$101,0)),"")</f>
        <v/>
      </c>
      <c r="H398" s="39">
        <f>IFERROR(INDEX(销售员主数据!$D$2:$D$101,MATCH($E398,销售员主数据!$A$2:$A$101,0)),"")</f>
        <v/>
      </c>
      <c r="I398" s="50" t="n"/>
      <c r="J398" s="50" t="n"/>
      <c r="K398" s="54" t="n"/>
      <c r="L398" s="55" t="n"/>
      <c r="M398" s="56" t="n"/>
      <c r="N398" s="57">
        <f>IF(COUNTBLANK(A398:L398)=12,"",1)</f>
        <v/>
      </c>
      <c r="O398" s="40" t="n"/>
    </row>
    <row r="399" ht="15" customHeight="1" s="34">
      <c r="A399" s="48" t="n"/>
      <c r="B399" s="41">
        <f>IF(A399="","",TEXT(A399,"mmm"))</f>
        <v/>
      </c>
      <c r="C399" s="41" t="n"/>
      <c r="D399" s="42" t="n"/>
      <c r="E399" s="41" t="n"/>
      <c r="F399" s="41">
        <f>IFERROR(INDEX(销售员主数据!$B$2:$B$101,MATCH($E399,销售员主数据!$A$2:$A$101,0)),"")</f>
        <v/>
      </c>
      <c r="G399" s="41">
        <f>IFERROR(INDEX(销售员主数据!$C$2:$C$101,MATCH($E399,销售员主数据!$A$2:$A$101,0)),"")</f>
        <v/>
      </c>
      <c r="H399" s="41">
        <f>IFERROR(INDEX(销售员主数据!$D$2:$D$101,MATCH($E399,销售员主数据!$A$2:$A$101,0)),"")</f>
        <v/>
      </c>
      <c r="I399" s="43" t="n"/>
      <c r="J399" s="43" t="n"/>
      <c r="K399" s="44" t="n"/>
      <c r="L399" s="58" t="n"/>
      <c r="M399" s="59" t="n"/>
      <c r="N399" s="60">
        <f>IF(COUNTBLANK(A399:L399)=12,"",1)</f>
        <v/>
      </c>
      <c r="O399" s="42" t="n"/>
    </row>
    <row r="400" ht="15" customHeight="1" s="34">
      <c r="A400" s="46" t="n"/>
      <c r="B400" s="39">
        <f>IF(A400="","",TEXT(A400,"mmm"))</f>
        <v/>
      </c>
      <c r="C400" s="39" t="n"/>
      <c r="D400" s="40" t="n"/>
      <c r="E400" s="39" t="n"/>
      <c r="F400" s="39">
        <f>IFERROR(INDEX(销售员主数据!$B$2:$B$101,MATCH($E400,销售员主数据!$A$2:$A$101,0)),"")</f>
        <v/>
      </c>
      <c r="G400" s="39">
        <f>IFERROR(INDEX(销售员主数据!$C$2:$C$101,MATCH($E400,销售员主数据!$A$2:$A$101,0)),"")</f>
        <v/>
      </c>
      <c r="H400" s="39">
        <f>IFERROR(INDEX(销售员主数据!$D$2:$D$101,MATCH($E400,销售员主数据!$A$2:$A$101,0)),"")</f>
        <v/>
      </c>
      <c r="I400" s="50" t="n"/>
      <c r="J400" s="50" t="n"/>
      <c r="K400" s="54" t="n"/>
      <c r="L400" s="55" t="n"/>
      <c r="M400" s="56" t="n"/>
      <c r="N400" s="57">
        <f>IF(COUNTBLANK(A400:L400)=12,"",1)</f>
        <v/>
      </c>
      <c r="O400" s="40" t="n"/>
    </row>
    <row r="401" ht="15" customHeight="1" s="34">
      <c r="A401" s="48" t="n"/>
      <c r="B401" s="41">
        <f>IF(A401="","",TEXT(A401,"mmm"))</f>
        <v/>
      </c>
      <c r="C401" s="41" t="n"/>
      <c r="D401" s="42" t="n"/>
      <c r="E401" s="41" t="n"/>
      <c r="F401" s="41">
        <f>IFERROR(INDEX(销售员主数据!$B$2:$B$101,MATCH($E401,销售员主数据!$A$2:$A$101,0)),"")</f>
        <v/>
      </c>
      <c r="G401" s="41">
        <f>IFERROR(INDEX(销售员主数据!$C$2:$C$101,MATCH($E401,销售员主数据!$A$2:$A$101,0)),"")</f>
        <v/>
      </c>
      <c r="H401" s="41">
        <f>IFERROR(INDEX(销售员主数据!$D$2:$D$101,MATCH($E401,销售员主数据!$A$2:$A$101,0)),"")</f>
        <v/>
      </c>
      <c r="I401" s="43" t="n"/>
      <c r="J401" s="43" t="n"/>
      <c r="K401" s="44" t="n"/>
      <c r="L401" s="58" t="n"/>
      <c r="M401" s="59" t="n"/>
      <c r="N401" s="60">
        <f>IF(COUNTBLANK(A401:L401)=12,"",1)</f>
        <v/>
      </c>
      <c r="O401" s="42" t="n"/>
    </row>
    <row r="402" ht="15" customHeight="1" s="34">
      <c r="A402" s="46" t="n"/>
      <c r="B402" s="39">
        <f>IF(A402="","",TEXT(A402,"mmm"))</f>
        <v/>
      </c>
      <c r="C402" s="39" t="n"/>
      <c r="D402" s="40" t="n"/>
      <c r="E402" s="39" t="n"/>
      <c r="F402" s="39">
        <f>IFERROR(INDEX(销售员主数据!$B$2:$B$101,MATCH($E402,销售员主数据!$A$2:$A$101,0)),"")</f>
        <v/>
      </c>
      <c r="G402" s="39">
        <f>IFERROR(INDEX(销售员主数据!$C$2:$C$101,MATCH($E402,销售员主数据!$A$2:$A$101,0)),"")</f>
        <v/>
      </c>
      <c r="H402" s="39">
        <f>IFERROR(INDEX(销售员主数据!$D$2:$D$101,MATCH($E402,销售员主数据!$A$2:$A$101,0)),"")</f>
        <v/>
      </c>
      <c r="I402" s="50" t="n"/>
      <c r="J402" s="50" t="n"/>
      <c r="K402" s="54" t="n"/>
      <c r="L402" s="55" t="n"/>
      <c r="M402" s="56" t="n"/>
      <c r="N402" s="57">
        <f>IF(COUNTBLANK(A402:L402)=12,"",1)</f>
        <v/>
      </c>
      <c r="O402" s="40" t="n"/>
    </row>
    <row r="403" ht="15" customHeight="1" s="34">
      <c r="A403" s="48" t="n"/>
      <c r="B403" s="41">
        <f>IF(A403="","",TEXT(A403,"mmm"))</f>
        <v/>
      </c>
      <c r="C403" s="41" t="n"/>
      <c r="D403" s="42" t="n"/>
      <c r="E403" s="41" t="n"/>
      <c r="F403" s="41">
        <f>IFERROR(INDEX(销售员主数据!$B$2:$B$101,MATCH($E403,销售员主数据!$A$2:$A$101,0)),"")</f>
        <v/>
      </c>
      <c r="G403" s="41">
        <f>IFERROR(INDEX(销售员主数据!$C$2:$C$101,MATCH($E403,销售员主数据!$A$2:$A$101,0)),"")</f>
        <v/>
      </c>
      <c r="H403" s="41">
        <f>IFERROR(INDEX(销售员主数据!$D$2:$D$101,MATCH($E403,销售员主数据!$A$2:$A$101,0)),"")</f>
        <v/>
      </c>
      <c r="I403" s="43" t="n"/>
      <c r="J403" s="43" t="n"/>
      <c r="K403" s="44" t="n"/>
      <c r="L403" s="58" t="n"/>
      <c r="M403" s="59" t="n"/>
      <c r="N403" s="60">
        <f>IF(COUNTBLANK(A403:L403)=12,"",1)</f>
        <v/>
      </c>
      <c r="O403" s="42" t="n"/>
    </row>
    <row r="404" ht="15" customHeight="1" s="34">
      <c r="A404" s="46" t="n"/>
      <c r="B404" s="39">
        <f>IF(A404="","",TEXT(A404,"mmm"))</f>
        <v/>
      </c>
      <c r="C404" s="39" t="n"/>
      <c r="D404" s="40" t="n"/>
      <c r="E404" s="39" t="n"/>
      <c r="F404" s="39">
        <f>IFERROR(INDEX(销售员主数据!$B$2:$B$101,MATCH($E404,销售员主数据!$A$2:$A$101,0)),"")</f>
        <v/>
      </c>
      <c r="G404" s="39">
        <f>IFERROR(INDEX(销售员主数据!$C$2:$C$101,MATCH($E404,销售员主数据!$A$2:$A$101,0)),"")</f>
        <v/>
      </c>
      <c r="H404" s="39">
        <f>IFERROR(INDEX(销售员主数据!$D$2:$D$101,MATCH($E404,销售员主数据!$A$2:$A$101,0)),"")</f>
        <v/>
      </c>
      <c r="I404" s="50" t="n"/>
      <c r="J404" s="50" t="n"/>
      <c r="K404" s="54" t="n"/>
      <c r="L404" s="55" t="n"/>
      <c r="M404" s="56" t="n"/>
      <c r="N404" s="57">
        <f>IF(COUNTBLANK(A404:L404)=12,"",1)</f>
        <v/>
      </c>
      <c r="O404" s="40" t="n"/>
    </row>
    <row r="405" ht="15" customHeight="1" s="34">
      <c r="A405" s="48" t="n"/>
      <c r="B405" s="41">
        <f>IF(A405="","",TEXT(A405,"mmm"))</f>
        <v/>
      </c>
      <c r="C405" s="41" t="n"/>
      <c r="D405" s="42" t="n"/>
      <c r="E405" s="41" t="n"/>
      <c r="F405" s="41">
        <f>IFERROR(INDEX(销售员主数据!$B$2:$B$101,MATCH($E405,销售员主数据!$A$2:$A$101,0)),"")</f>
        <v/>
      </c>
      <c r="G405" s="41">
        <f>IFERROR(INDEX(销售员主数据!$C$2:$C$101,MATCH($E405,销售员主数据!$A$2:$A$101,0)),"")</f>
        <v/>
      </c>
      <c r="H405" s="41">
        <f>IFERROR(INDEX(销售员主数据!$D$2:$D$101,MATCH($E405,销售员主数据!$A$2:$A$101,0)),"")</f>
        <v/>
      </c>
      <c r="I405" s="43" t="n"/>
      <c r="J405" s="43" t="n"/>
      <c r="K405" s="44" t="n"/>
      <c r="L405" s="58" t="n"/>
      <c r="M405" s="59" t="n"/>
      <c r="N405" s="60">
        <f>IF(COUNTBLANK(A405:L405)=12,"",1)</f>
        <v/>
      </c>
      <c r="O405" s="42" t="n"/>
    </row>
    <row r="406" ht="15" customHeight="1" s="34">
      <c r="A406" s="46" t="n"/>
      <c r="B406" s="39">
        <f>IF(A406="","",TEXT(A406,"mmm"))</f>
        <v/>
      </c>
      <c r="C406" s="39" t="n"/>
      <c r="D406" s="40" t="n"/>
      <c r="E406" s="39" t="n"/>
      <c r="F406" s="39">
        <f>IFERROR(INDEX(销售员主数据!$B$2:$B$101,MATCH($E406,销售员主数据!$A$2:$A$101,0)),"")</f>
        <v/>
      </c>
      <c r="G406" s="39">
        <f>IFERROR(INDEX(销售员主数据!$C$2:$C$101,MATCH($E406,销售员主数据!$A$2:$A$101,0)),"")</f>
        <v/>
      </c>
      <c r="H406" s="39">
        <f>IFERROR(INDEX(销售员主数据!$D$2:$D$101,MATCH($E406,销售员主数据!$A$2:$A$101,0)),"")</f>
        <v/>
      </c>
      <c r="I406" s="50" t="n"/>
      <c r="J406" s="50" t="n"/>
      <c r="K406" s="54" t="n"/>
      <c r="L406" s="55" t="n"/>
      <c r="M406" s="56" t="n"/>
      <c r="N406" s="57">
        <f>IF(COUNTBLANK(A406:L406)=12,"",1)</f>
        <v/>
      </c>
      <c r="O406" s="40" t="n"/>
    </row>
    <row r="407" ht="15" customHeight="1" s="34">
      <c r="A407" s="48" t="n"/>
      <c r="B407" s="41">
        <f>IF(A407="","",TEXT(A407,"mmm"))</f>
        <v/>
      </c>
      <c r="C407" s="41" t="n"/>
      <c r="D407" s="42" t="n"/>
      <c r="E407" s="41" t="n"/>
      <c r="F407" s="41">
        <f>IFERROR(INDEX(销售员主数据!$B$2:$B$101,MATCH($E407,销售员主数据!$A$2:$A$101,0)),"")</f>
        <v/>
      </c>
      <c r="G407" s="41">
        <f>IFERROR(INDEX(销售员主数据!$C$2:$C$101,MATCH($E407,销售员主数据!$A$2:$A$101,0)),"")</f>
        <v/>
      </c>
      <c r="H407" s="41">
        <f>IFERROR(INDEX(销售员主数据!$D$2:$D$101,MATCH($E407,销售员主数据!$A$2:$A$101,0)),"")</f>
        <v/>
      </c>
      <c r="I407" s="43" t="n"/>
      <c r="J407" s="43" t="n"/>
      <c r="K407" s="44" t="n"/>
      <c r="L407" s="58" t="n"/>
      <c r="M407" s="59" t="n"/>
      <c r="N407" s="60">
        <f>IF(COUNTBLANK(A407:L407)=12,"",1)</f>
        <v/>
      </c>
      <c r="O407" s="42" t="n"/>
    </row>
    <row r="408" ht="15" customHeight="1" s="34">
      <c r="A408" s="46" t="n"/>
      <c r="B408" s="39">
        <f>IF(A408="","",TEXT(A408,"mmm"))</f>
        <v/>
      </c>
      <c r="C408" s="39" t="n"/>
      <c r="D408" s="40" t="n"/>
      <c r="E408" s="39" t="n"/>
      <c r="F408" s="39">
        <f>IFERROR(INDEX(销售员主数据!$B$2:$B$101,MATCH($E408,销售员主数据!$A$2:$A$101,0)),"")</f>
        <v/>
      </c>
      <c r="G408" s="39">
        <f>IFERROR(INDEX(销售员主数据!$C$2:$C$101,MATCH($E408,销售员主数据!$A$2:$A$101,0)),"")</f>
        <v/>
      </c>
      <c r="H408" s="39">
        <f>IFERROR(INDEX(销售员主数据!$D$2:$D$101,MATCH($E408,销售员主数据!$A$2:$A$101,0)),"")</f>
        <v/>
      </c>
      <c r="I408" s="50" t="n"/>
      <c r="J408" s="50" t="n"/>
      <c r="K408" s="54" t="n"/>
      <c r="L408" s="55" t="n"/>
      <c r="M408" s="56" t="n"/>
      <c r="N408" s="57">
        <f>IF(COUNTBLANK(A408:L408)=12,"",1)</f>
        <v/>
      </c>
      <c r="O408" s="40" t="n"/>
    </row>
    <row r="409" ht="15" customHeight="1" s="34">
      <c r="A409" s="48" t="n"/>
      <c r="B409" s="41">
        <f>IF(A409="","",TEXT(A409,"mmm"))</f>
        <v/>
      </c>
      <c r="C409" s="41" t="n"/>
      <c r="D409" s="42" t="n"/>
      <c r="E409" s="41" t="n"/>
      <c r="F409" s="41">
        <f>IFERROR(INDEX(销售员主数据!$B$2:$B$101,MATCH($E409,销售员主数据!$A$2:$A$101,0)),"")</f>
        <v/>
      </c>
      <c r="G409" s="41">
        <f>IFERROR(INDEX(销售员主数据!$C$2:$C$101,MATCH($E409,销售员主数据!$A$2:$A$101,0)),"")</f>
        <v/>
      </c>
      <c r="H409" s="41">
        <f>IFERROR(INDEX(销售员主数据!$D$2:$D$101,MATCH($E409,销售员主数据!$A$2:$A$101,0)),"")</f>
        <v/>
      </c>
      <c r="I409" s="43" t="n"/>
      <c r="J409" s="43" t="n"/>
      <c r="K409" s="44" t="n"/>
      <c r="L409" s="58" t="n"/>
      <c r="M409" s="59" t="n"/>
      <c r="N409" s="60">
        <f>IF(COUNTBLANK(A409:L409)=12,"",1)</f>
        <v/>
      </c>
      <c r="O409" s="42" t="n"/>
    </row>
    <row r="410" ht="15" customHeight="1" s="34">
      <c r="A410" s="46" t="n"/>
      <c r="B410" s="39">
        <f>IF(A410="","",TEXT(A410,"mmm"))</f>
        <v/>
      </c>
      <c r="C410" s="39" t="n"/>
      <c r="D410" s="40" t="n"/>
      <c r="E410" s="39" t="n"/>
      <c r="F410" s="39">
        <f>IFERROR(INDEX(销售员主数据!$B$2:$B$101,MATCH($E410,销售员主数据!$A$2:$A$101,0)),"")</f>
        <v/>
      </c>
      <c r="G410" s="39">
        <f>IFERROR(INDEX(销售员主数据!$C$2:$C$101,MATCH($E410,销售员主数据!$A$2:$A$101,0)),"")</f>
        <v/>
      </c>
      <c r="H410" s="39">
        <f>IFERROR(INDEX(销售员主数据!$D$2:$D$101,MATCH($E410,销售员主数据!$A$2:$A$101,0)),"")</f>
        <v/>
      </c>
      <c r="I410" s="50" t="n"/>
      <c r="J410" s="50" t="n"/>
      <c r="K410" s="54" t="n"/>
      <c r="L410" s="55" t="n"/>
      <c r="M410" s="56" t="n"/>
      <c r="N410" s="57">
        <f>IF(COUNTBLANK(A410:L410)=12,"",1)</f>
        <v/>
      </c>
      <c r="O410" s="40" t="n"/>
    </row>
    <row r="411" ht="15" customHeight="1" s="34">
      <c r="A411" s="48" t="n"/>
      <c r="B411" s="41">
        <f>IF(A411="","",TEXT(A411,"mmm"))</f>
        <v/>
      </c>
      <c r="C411" s="41" t="n"/>
      <c r="D411" s="42" t="n"/>
      <c r="E411" s="41" t="n"/>
      <c r="F411" s="41">
        <f>IFERROR(INDEX(销售员主数据!$B$2:$B$101,MATCH($E411,销售员主数据!$A$2:$A$101,0)),"")</f>
        <v/>
      </c>
      <c r="G411" s="41">
        <f>IFERROR(INDEX(销售员主数据!$C$2:$C$101,MATCH($E411,销售员主数据!$A$2:$A$101,0)),"")</f>
        <v/>
      </c>
      <c r="H411" s="41">
        <f>IFERROR(INDEX(销售员主数据!$D$2:$D$101,MATCH($E411,销售员主数据!$A$2:$A$101,0)),"")</f>
        <v/>
      </c>
      <c r="I411" s="43" t="n"/>
      <c r="J411" s="43" t="n"/>
      <c r="K411" s="44" t="n"/>
      <c r="L411" s="58" t="n"/>
      <c r="M411" s="59" t="n"/>
      <c r="N411" s="60">
        <f>IF(COUNTBLANK(A411:L411)=12,"",1)</f>
        <v/>
      </c>
      <c r="O411" s="42" t="n"/>
    </row>
    <row r="412" ht="15" customHeight="1" s="34">
      <c r="A412" s="46" t="n"/>
      <c r="B412" s="39">
        <f>IF(A412="","",TEXT(A412,"mmm"))</f>
        <v/>
      </c>
      <c r="C412" s="39" t="n"/>
      <c r="D412" s="40" t="n"/>
      <c r="E412" s="39" t="n"/>
      <c r="F412" s="39">
        <f>IFERROR(INDEX(销售员主数据!$B$2:$B$101,MATCH($E412,销售员主数据!$A$2:$A$101,0)),"")</f>
        <v/>
      </c>
      <c r="G412" s="39">
        <f>IFERROR(INDEX(销售员主数据!$C$2:$C$101,MATCH($E412,销售员主数据!$A$2:$A$101,0)),"")</f>
        <v/>
      </c>
      <c r="H412" s="39">
        <f>IFERROR(INDEX(销售员主数据!$D$2:$D$101,MATCH($E412,销售员主数据!$A$2:$A$101,0)),"")</f>
        <v/>
      </c>
      <c r="I412" s="50" t="n"/>
      <c r="J412" s="50" t="n"/>
      <c r="K412" s="54" t="n"/>
      <c r="L412" s="55" t="n"/>
      <c r="M412" s="56" t="n"/>
      <c r="N412" s="57">
        <f>IF(COUNTBLANK(A412:L412)=12,"",1)</f>
        <v/>
      </c>
      <c r="O412" s="40" t="n"/>
    </row>
    <row r="413" ht="15" customHeight="1" s="34">
      <c r="A413" s="48" t="n"/>
      <c r="B413" s="41">
        <f>IF(A413="","",TEXT(A413,"mmm"))</f>
        <v/>
      </c>
      <c r="C413" s="41" t="n"/>
      <c r="D413" s="42" t="n"/>
      <c r="E413" s="41" t="n"/>
      <c r="F413" s="41">
        <f>IFERROR(INDEX(销售员主数据!$B$2:$B$101,MATCH($E413,销售员主数据!$A$2:$A$101,0)),"")</f>
        <v/>
      </c>
      <c r="G413" s="41">
        <f>IFERROR(INDEX(销售员主数据!$C$2:$C$101,MATCH($E413,销售员主数据!$A$2:$A$101,0)),"")</f>
        <v/>
      </c>
      <c r="H413" s="41">
        <f>IFERROR(INDEX(销售员主数据!$D$2:$D$101,MATCH($E413,销售员主数据!$A$2:$A$101,0)),"")</f>
        <v/>
      </c>
      <c r="I413" s="43" t="n"/>
      <c r="J413" s="43" t="n"/>
      <c r="K413" s="44" t="n"/>
      <c r="L413" s="58" t="n"/>
      <c r="M413" s="59" t="n"/>
      <c r="N413" s="60">
        <f>IF(COUNTBLANK(A413:L413)=12,"",1)</f>
        <v/>
      </c>
      <c r="O413" s="42" t="n"/>
    </row>
    <row r="414" ht="15" customHeight="1" s="34">
      <c r="A414" s="46" t="n"/>
      <c r="B414" s="39">
        <f>IF(A414="","",TEXT(A414,"mmm"))</f>
        <v/>
      </c>
      <c r="C414" s="39" t="n"/>
      <c r="D414" s="40" t="n"/>
      <c r="E414" s="39" t="n"/>
      <c r="F414" s="39">
        <f>IFERROR(INDEX(销售员主数据!$B$2:$B$101,MATCH($E414,销售员主数据!$A$2:$A$101,0)),"")</f>
        <v/>
      </c>
      <c r="G414" s="39">
        <f>IFERROR(INDEX(销售员主数据!$C$2:$C$101,MATCH($E414,销售员主数据!$A$2:$A$101,0)),"")</f>
        <v/>
      </c>
      <c r="H414" s="39">
        <f>IFERROR(INDEX(销售员主数据!$D$2:$D$101,MATCH($E414,销售员主数据!$A$2:$A$101,0)),"")</f>
        <v/>
      </c>
      <c r="I414" s="50" t="n"/>
      <c r="J414" s="50" t="n"/>
      <c r="K414" s="54" t="n"/>
      <c r="L414" s="55" t="n"/>
      <c r="M414" s="56" t="n"/>
      <c r="N414" s="57">
        <f>IF(COUNTBLANK(A414:L414)=12,"",1)</f>
        <v/>
      </c>
      <c r="O414" s="40" t="n"/>
    </row>
    <row r="415" ht="15" customHeight="1" s="34">
      <c r="A415" s="48" t="n"/>
      <c r="B415" s="41">
        <f>IF(A415="","",TEXT(A415,"mmm"))</f>
        <v/>
      </c>
      <c r="C415" s="41" t="n"/>
      <c r="D415" s="42" t="n"/>
      <c r="E415" s="41" t="n"/>
      <c r="F415" s="41">
        <f>IFERROR(INDEX(销售员主数据!$B$2:$B$101,MATCH($E415,销售员主数据!$A$2:$A$101,0)),"")</f>
        <v/>
      </c>
      <c r="G415" s="41">
        <f>IFERROR(INDEX(销售员主数据!$C$2:$C$101,MATCH($E415,销售员主数据!$A$2:$A$101,0)),"")</f>
        <v/>
      </c>
      <c r="H415" s="41">
        <f>IFERROR(INDEX(销售员主数据!$D$2:$D$101,MATCH($E415,销售员主数据!$A$2:$A$101,0)),"")</f>
        <v/>
      </c>
      <c r="I415" s="43" t="n"/>
      <c r="J415" s="43" t="n"/>
      <c r="K415" s="44" t="n"/>
      <c r="L415" s="58" t="n"/>
      <c r="M415" s="59" t="n"/>
      <c r="N415" s="60">
        <f>IF(COUNTBLANK(A415:L415)=12,"",1)</f>
        <v/>
      </c>
      <c r="O415" s="42" t="n"/>
    </row>
    <row r="416" ht="15" customHeight="1" s="34">
      <c r="A416" s="46" t="n"/>
      <c r="B416" s="39">
        <f>IF(A416="","",TEXT(A416,"mmm"))</f>
        <v/>
      </c>
      <c r="C416" s="39" t="n"/>
      <c r="D416" s="40" t="n"/>
      <c r="E416" s="39" t="n"/>
      <c r="F416" s="39">
        <f>IFERROR(INDEX(销售员主数据!$B$2:$B$101,MATCH($E416,销售员主数据!$A$2:$A$101,0)),"")</f>
        <v/>
      </c>
      <c r="G416" s="39">
        <f>IFERROR(INDEX(销售员主数据!$C$2:$C$101,MATCH($E416,销售员主数据!$A$2:$A$101,0)),"")</f>
        <v/>
      </c>
      <c r="H416" s="39">
        <f>IFERROR(INDEX(销售员主数据!$D$2:$D$101,MATCH($E416,销售员主数据!$A$2:$A$101,0)),"")</f>
        <v/>
      </c>
      <c r="I416" s="50" t="n"/>
      <c r="J416" s="50" t="n"/>
      <c r="K416" s="54" t="n"/>
      <c r="L416" s="55" t="n"/>
      <c r="M416" s="56" t="n"/>
      <c r="N416" s="57">
        <f>IF(COUNTBLANK(A416:L416)=12,"",1)</f>
        <v/>
      </c>
      <c r="O416" s="40" t="n"/>
    </row>
    <row r="417" ht="15" customHeight="1" s="34">
      <c r="A417" s="48" t="n"/>
      <c r="B417" s="41">
        <f>IF(A417="","",TEXT(A417,"mmm"))</f>
        <v/>
      </c>
      <c r="C417" s="41" t="n"/>
      <c r="D417" s="42" t="n"/>
      <c r="E417" s="41" t="n"/>
      <c r="F417" s="41">
        <f>IFERROR(INDEX(销售员主数据!$B$2:$B$101,MATCH($E417,销售员主数据!$A$2:$A$101,0)),"")</f>
        <v/>
      </c>
      <c r="G417" s="41">
        <f>IFERROR(INDEX(销售员主数据!$C$2:$C$101,MATCH($E417,销售员主数据!$A$2:$A$101,0)),"")</f>
        <v/>
      </c>
      <c r="H417" s="41">
        <f>IFERROR(INDEX(销售员主数据!$D$2:$D$101,MATCH($E417,销售员主数据!$A$2:$A$101,0)),"")</f>
        <v/>
      </c>
      <c r="I417" s="43" t="n"/>
      <c r="J417" s="43" t="n"/>
      <c r="K417" s="44" t="n"/>
      <c r="L417" s="58" t="n"/>
      <c r="M417" s="59" t="n"/>
      <c r="N417" s="60">
        <f>IF(COUNTBLANK(A417:L417)=12,"",1)</f>
        <v/>
      </c>
      <c r="O417" s="42" t="n"/>
    </row>
    <row r="418" ht="15" customHeight="1" s="34">
      <c r="A418" s="46" t="n"/>
      <c r="B418" s="39">
        <f>IF(A418="","",TEXT(A418,"mmm"))</f>
        <v/>
      </c>
      <c r="C418" s="39" t="n"/>
      <c r="D418" s="40" t="n"/>
      <c r="E418" s="39" t="n"/>
      <c r="F418" s="39">
        <f>IFERROR(INDEX(销售员主数据!$B$2:$B$101,MATCH($E418,销售员主数据!$A$2:$A$101,0)),"")</f>
        <v/>
      </c>
      <c r="G418" s="39">
        <f>IFERROR(INDEX(销售员主数据!$C$2:$C$101,MATCH($E418,销售员主数据!$A$2:$A$101,0)),"")</f>
        <v/>
      </c>
      <c r="H418" s="39">
        <f>IFERROR(INDEX(销售员主数据!$D$2:$D$101,MATCH($E418,销售员主数据!$A$2:$A$101,0)),"")</f>
        <v/>
      </c>
      <c r="I418" s="50" t="n"/>
      <c r="J418" s="50" t="n"/>
      <c r="K418" s="54" t="n"/>
      <c r="L418" s="55" t="n"/>
      <c r="M418" s="56" t="n"/>
      <c r="N418" s="57">
        <f>IF(COUNTBLANK(A418:L418)=12,"",1)</f>
        <v/>
      </c>
      <c r="O418" s="40" t="n"/>
    </row>
    <row r="419" ht="15" customHeight="1" s="34">
      <c r="A419" s="48" t="n"/>
      <c r="B419" s="41">
        <f>IF(A419="","",TEXT(A419,"mmm"))</f>
        <v/>
      </c>
      <c r="C419" s="41" t="n"/>
      <c r="D419" s="42" t="n"/>
      <c r="E419" s="41" t="n"/>
      <c r="F419" s="41">
        <f>IFERROR(INDEX(销售员主数据!$B$2:$B$101,MATCH($E419,销售员主数据!$A$2:$A$101,0)),"")</f>
        <v/>
      </c>
      <c r="G419" s="41">
        <f>IFERROR(INDEX(销售员主数据!$C$2:$C$101,MATCH($E419,销售员主数据!$A$2:$A$101,0)),"")</f>
        <v/>
      </c>
      <c r="H419" s="41">
        <f>IFERROR(INDEX(销售员主数据!$D$2:$D$101,MATCH($E419,销售员主数据!$A$2:$A$101,0)),"")</f>
        <v/>
      </c>
      <c r="I419" s="43" t="n"/>
      <c r="J419" s="43" t="n"/>
      <c r="K419" s="44" t="n"/>
      <c r="L419" s="58" t="n"/>
      <c r="M419" s="59" t="n"/>
      <c r="N419" s="60">
        <f>IF(COUNTBLANK(A419:L419)=12,"",1)</f>
        <v/>
      </c>
      <c r="O419" s="42" t="n"/>
    </row>
    <row r="420" ht="15" customHeight="1" s="34">
      <c r="A420" s="46" t="n"/>
      <c r="B420" s="39">
        <f>IF(A420="","",TEXT(A420,"mmm"))</f>
        <v/>
      </c>
      <c r="C420" s="39" t="n"/>
      <c r="D420" s="40" t="n"/>
      <c r="E420" s="39" t="n"/>
      <c r="F420" s="39">
        <f>IFERROR(INDEX(销售员主数据!$B$2:$B$101,MATCH($E420,销售员主数据!$A$2:$A$101,0)),"")</f>
        <v/>
      </c>
      <c r="G420" s="39">
        <f>IFERROR(INDEX(销售员主数据!$C$2:$C$101,MATCH($E420,销售员主数据!$A$2:$A$101,0)),"")</f>
        <v/>
      </c>
      <c r="H420" s="39">
        <f>IFERROR(INDEX(销售员主数据!$D$2:$D$101,MATCH($E420,销售员主数据!$A$2:$A$101,0)),"")</f>
        <v/>
      </c>
      <c r="I420" s="50" t="n"/>
      <c r="J420" s="50" t="n"/>
      <c r="K420" s="54" t="n"/>
      <c r="L420" s="55" t="n"/>
      <c r="M420" s="56" t="n"/>
      <c r="N420" s="57">
        <f>IF(COUNTBLANK(A420:L420)=12,"",1)</f>
        <v/>
      </c>
      <c r="O420" s="40" t="n"/>
    </row>
    <row r="421" ht="15" customHeight="1" s="34">
      <c r="A421" s="48" t="n"/>
      <c r="B421" s="41">
        <f>IF(A421="","",TEXT(A421,"mmm"))</f>
        <v/>
      </c>
      <c r="C421" s="41" t="n"/>
      <c r="D421" s="42" t="n"/>
      <c r="E421" s="41" t="n"/>
      <c r="F421" s="41">
        <f>IFERROR(INDEX(销售员主数据!$B$2:$B$101,MATCH($E421,销售员主数据!$A$2:$A$101,0)),"")</f>
        <v/>
      </c>
      <c r="G421" s="41">
        <f>IFERROR(INDEX(销售员主数据!$C$2:$C$101,MATCH($E421,销售员主数据!$A$2:$A$101,0)),"")</f>
        <v/>
      </c>
      <c r="H421" s="41">
        <f>IFERROR(INDEX(销售员主数据!$D$2:$D$101,MATCH($E421,销售员主数据!$A$2:$A$101,0)),"")</f>
        <v/>
      </c>
      <c r="I421" s="43" t="n"/>
      <c r="J421" s="43" t="n"/>
      <c r="K421" s="44" t="n"/>
      <c r="L421" s="58" t="n"/>
      <c r="M421" s="59" t="n"/>
      <c r="N421" s="60">
        <f>IF(COUNTBLANK(A421:L421)=12,"",1)</f>
        <v/>
      </c>
      <c r="O421" s="42" t="n"/>
    </row>
    <row r="422" ht="15" customHeight="1" s="34">
      <c r="A422" s="46" t="n"/>
      <c r="B422" s="39">
        <f>IF(A422="","",TEXT(A422,"mmm"))</f>
        <v/>
      </c>
      <c r="C422" s="39" t="n"/>
      <c r="D422" s="40" t="n"/>
      <c r="E422" s="39" t="n"/>
      <c r="F422" s="39">
        <f>IFERROR(INDEX(销售员主数据!$B$2:$B$101,MATCH($E422,销售员主数据!$A$2:$A$101,0)),"")</f>
        <v/>
      </c>
      <c r="G422" s="39">
        <f>IFERROR(INDEX(销售员主数据!$C$2:$C$101,MATCH($E422,销售员主数据!$A$2:$A$101,0)),"")</f>
        <v/>
      </c>
      <c r="H422" s="39">
        <f>IFERROR(INDEX(销售员主数据!$D$2:$D$101,MATCH($E422,销售员主数据!$A$2:$A$101,0)),"")</f>
        <v/>
      </c>
      <c r="I422" s="50" t="n"/>
      <c r="J422" s="50" t="n"/>
      <c r="K422" s="54" t="n"/>
      <c r="L422" s="55" t="n"/>
      <c r="M422" s="56" t="n"/>
      <c r="N422" s="57">
        <f>IF(COUNTBLANK(A422:L422)=12,"",1)</f>
        <v/>
      </c>
      <c r="O422" s="40" t="n"/>
    </row>
    <row r="423" ht="15" customHeight="1" s="34">
      <c r="A423" s="48" t="n"/>
      <c r="B423" s="41">
        <f>IF(A423="","",TEXT(A423,"mmm"))</f>
        <v/>
      </c>
      <c r="C423" s="41" t="n"/>
      <c r="D423" s="42" t="n"/>
      <c r="E423" s="41" t="n"/>
      <c r="F423" s="41">
        <f>IFERROR(INDEX(销售员主数据!$B$2:$B$101,MATCH($E423,销售员主数据!$A$2:$A$101,0)),"")</f>
        <v/>
      </c>
      <c r="G423" s="41">
        <f>IFERROR(INDEX(销售员主数据!$C$2:$C$101,MATCH($E423,销售员主数据!$A$2:$A$101,0)),"")</f>
        <v/>
      </c>
      <c r="H423" s="41">
        <f>IFERROR(INDEX(销售员主数据!$D$2:$D$101,MATCH($E423,销售员主数据!$A$2:$A$101,0)),"")</f>
        <v/>
      </c>
      <c r="I423" s="43" t="n"/>
      <c r="J423" s="43" t="n"/>
      <c r="K423" s="44" t="n"/>
      <c r="L423" s="58" t="n"/>
      <c r="M423" s="59" t="n"/>
      <c r="N423" s="60">
        <f>IF(COUNTBLANK(A423:L423)=12,"",1)</f>
        <v/>
      </c>
      <c r="O423" s="42" t="n"/>
    </row>
    <row r="424" ht="15" customHeight="1" s="34">
      <c r="A424" s="46" t="n"/>
      <c r="B424" s="39">
        <f>IF(A424="","",TEXT(A424,"mmm"))</f>
        <v/>
      </c>
      <c r="C424" s="39" t="n"/>
      <c r="D424" s="40" t="n"/>
      <c r="E424" s="39" t="n"/>
      <c r="F424" s="39">
        <f>IFERROR(INDEX(销售员主数据!$B$2:$B$101,MATCH($E424,销售员主数据!$A$2:$A$101,0)),"")</f>
        <v/>
      </c>
      <c r="G424" s="39">
        <f>IFERROR(INDEX(销售员主数据!$C$2:$C$101,MATCH($E424,销售员主数据!$A$2:$A$101,0)),"")</f>
        <v/>
      </c>
      <c r="H424" s="39">
        <f>IFERROR(INDEX(销售员主数据!$D$2:$D$101,MATCH($E424,销售员主数据!$A$2:$A$101,0)),"")</f>
        <v/>
      </c>
      <c r="I424" s="50" t="n"/>
      <c r="J424" s="50" t="n"/>
      <c r="K424" s="54" t="n"/>
      <c r="L424" s="55" t="n"/>
      <c r="M424" s="56" t="n"/>
      <c r="N424" s="57">
        <f>IF(COUNTBLANK(A424:L424)=12,"",1)</f>
        <v/>
      </c>
      <c r="O424" s="40" t="n"/>
    </row>
    <row r="425" ht="15" customHeight="1" s="34">
      <c r="A425" s="48" t="n"/>
      <c r="B425" s="41">
        <f>IF(A425="","",TEXT(A425,"mmm"))</f>
        <v/>
      </c>
      <c r="C425" s="41" t="n"/>
      <c r="D425" s="42" t="n"/>
      <c r="E425" s="41" t="n"/>
      <c r="F425" s="41">
        <f>IFERROR(INDEX(销售员主数据!$B$2:$B$101,MATCH($E425,销售员主数据!$A$2:$A$101,0)),"")</f>
        <v/>
      </c>
      <c r="G425" s="41">
        <f>IFERROR(INDEX(销售员主数据!$C$2:$C$101,MATCH($E425,销售员主数据!$A$2:$A$101,0)),"")</f>
        <v/>
      </c>
      <c r="H425" s="41">
        <f>IFERROR(INDEX(销售员主数据!$D$2:$D$101,MATCH($E425,销售员主数据!$A$2:$A$101,0)),"")</f>
        <v/>
      </c>
      <c r="I425" s="43" t="n"/>
      <c r="J425" s="43" t="n"/>
      <c r="K425" s="44" t="n"/>
      <c r="L425" s="58" t="n"/>
      <c r="M425" s="59" t="n"/>
      <c r="N425" s="60">
        <f>IF(COUNTBLANK(A425:L425)=12,"",1)</f>
        <v/>
      </c>
      <c r="O425" s="42" t="n"/>
    </row>
    <row r="426" ht="15" customHeight="1" s="34">
      <c r="A426" s="46" t="n"/>
      <c r="B426" s="39">
        <f>IF(A426="","",TEXT(A426,"mmm"))</f>
        <v/>
      </c>
      <c r="C426" s="39" t="n"/>
      <c r="D426" s="40" t="n"/>
      <c r="E426" s="39" t="n"/>
      <c r="F426" s="39">
        <f>IFERROR(INDEX(销售员主数据!$B$2:$B$101,MATCH($E426,销售员主数据!$A$2:$A$101,0)),"")</f>
        <v/>
      </c>
      <c r="G426" s="39">
        <f>IFERROR(INDEX(销售员主数据!$C$2:$C$101,MATCH($E426,销售员主数据!$A$2:$A$101,0)),"")</f>
        <v/>
      </c>
      <c r="H426" s="39">
        <f>IFERROR(INDEX(销售员主数据!$D$2:$D$101,MATCH($E426,销售员主数据!$A$2:$A$101,0)),"")</f>
        <v/>
      </c>
      <c r="I426" s="50" t="n"/>
      <c r="J426" s="50" t="n"/>
      <c r="K426" s="54" t="n"/>
      <c r="L426" s="55" t="n"/>
      <c r="M426" s="56" t="n"/>
      <c r="N426" s="57">
        <f>IF(COUNTBLANK(A426:L426)=12,"",1)</f>
        <v/>
      </c>
      <c r="O426" s="40" t="n"/>
    </row>
    <row r="427" ht="15" customHeight="1" s="34">
      <c r="A427" s="48" t="n"/>
      <c r="B427" s="41">
        <f>IF(A427="","",TEXT(A427,"mmm"))</f>
        <v/>
      </c>
      <c r="C427" s="41" t="n"/>
      <c r="D427" s="42" t="n"/>
      <c r="E427" s="41" t="n"/>
      <c r="F427" s="41">
        <f>IFERROR(INDEX(销售员主数据!$B$2:$B$101,MATCH($E427,销售员主数据!$A$2:$A$101,0)),"")</f>
        <v/>
      </c>
      <c r="G427" s="41">
        <f>IFERROR(INDEX(销售员主数据!$C$2:$C$101,MATCH($E427,销售员主数据!$A$2:$A$101,0)),"")</f>
        <v/>
      </c>
      <c r="H427" s="41">
        <f>IFERROR(INDEX(销售员主数据!$D$2:$D$101,MATCH($E427,销售员主数据!$A$2:$A$101,0)),"")</f>
        <v/>
      </c>
      <c r="I427" s="43" t="n"/>
      <c r="J427" s="43" t="n"/>
      <c r="K427" s="44" t="n"/>
      <c r="L427" s="58" t="n"/>
      <c r="M427" s="59" t="n"/>
      <c r="N427" s="60">
        <f>IF(COUNTBLANK(A427:L427)=12,"",1)</f>
        <v/>
      </c>
      <c r="O427" s="42" t="n"/>
    </row>
    <row r="428" ht="15" customHeight="1" s="34">
      <c r="A428" s="46" t="n"/>
      <c r="B428" s="39">
        <f>IF(A428="","",TEXT(A428,"mmm"))</f>
        <v/>
      </c>
      <c r="C428" s="39" t="n"/>
      <c r="D428" s="40" t="n"/>
      <c r="E428" s="39" t="n"/>
      <c r="F428" s="39">
        <f>IFERROR(INDEX(销售员主数据!$B$2:$B$101,MATCH($E428,销售员主数据!$A$2:$A$101,0)),"")</f>
        <v/>
      </c>
      <c r="G428" s="39">
        <f>IFERROR(INDEX(销售员主数据!$C$2:$C$101,MATCH($E428,销售员主数据!$A$2:$A$101,0)),"")</f>
        <v/>
      </c>
      <c r="H428" s="39">
        <f>IFERROR(INDEX(销售员主数据!$D$2:$D$101,MATCH($E428,销售员主数据!$A$2:$A$101,0)),"")</f>
        <v/>
      </c>
      <c r="I428" s="50" t="n"/>
      <c r="J428" s="50" t="n"/>
      <c r="K428" s="54" t="n"/>
      <c r="L428" s="55" t="n"/>
      <c r="M428" s="56" t="n"/>
      <c r="N428" s="57">
        <f>IF(COUNTBLANK(A428:L428)=12,"",1)</f>
        <v/>
      </c>
      <c r="O428" s="40" t="n"/>
    </row>
    <row r="429" ht="15" customHeight="1" s="34">
      <c r="A429" s="48" t="n"/>
      <c r="B429" s="41">
        <f>IF(A429="","",TEXT(A429,"mmm"))</f>
        <v/>
      </c>
      <c r="C429" s="41" t="n"/>
      <c r="D429" s="42" t="n"/>
      <c r="E429" s="41" t="n"/>
      <c r="F429" s="41">
        <f>IFERROR(INDEX(销售员主数据!$B$2:$B$101,MATCH($E429,销售员主数据!$A$2:$A$101,0)),"")</f>
        <v/>
      </c>
      <c r="G429" s="41">
        <f>IFERROR(INDEX(销售员主数据!$C$2:$C$101,MATCH($E429,销售员主数据!$A$2:$A$101,0)),"")</f>
        <v/>
      </c>
      <c r="H429" s="41">
        <f>IFERROR(INDEX(销售员主数据!$D$2:$D$101,MATCH($E429,销售员主数据!$A$2:$A$101,0)),"")</f>
        <v/>
      </c>
      <c r="I429" s="43" t="n"/>
      <c r="J429" s="43" t="n"/>
      <c r="K429" s="44" t="n"/>
      <c r="L429" s="58" t="n"/>
      <c r="M429" s="59" t="n"/>
      <c r="N429" s="60">
        <f>IF(COUNTBLANK(A429:L429)=12,"",1)</f>
        <v/>
      </c>
      <c r="O429" s="42" t="n"/>
    </row>
    <row r="430" ht="15" customHeight="1" s="34">
      <c r="A430" s="46" t="n"/>
      <c r="B430" s="39">
        <f>IF(A430="","",TEXT(A430,"mmm"))</f>
        <v/>
      </c>
      <c r="C430" s="39" t="n"/>
      <c r="D430" s="40" t="n"/>
      <c r="E430" s="39" t="n"/>
      <c r="F430" s="39">
        <f>IFERROR(INDEX(销售员主数据!$B$2:$B$101,MATCH($E430,销售员主数据!$A$2:$A$101,0)),"")</f>
        <v/>
      </c>
      <c r="G430" s="39">
        <f>IFERROR(INDEX(销售员主数据!$C$2:$C$101,MATCH($E430,销售员主数据!$A$2:$A$101,0)),"")</f>
        <v/>
      </c>
      <c r="H430" s="39">
        <f>IFERROR(INDEX(销售员主数据!$D$2:$D$101,MATCH($E430,销售员主数据!$A$2:$A$101,0)),"")</f>
        <v/>
      </c>
      <c r="I430" s="50" t="n"/>
      <c r="J430" s="50" t="n"/>
      <c r="K430" s="54" t="n"/>
      <c r="L430" s="55" t="n"/>
      <c r="M430" s="56" t="n"/>
      <c r="N430" s="57">
        <f>IF(COUNTBLANK(A430:L430)=12,"",1)</f>
        <v/>
      </c>
      <c r="O430" s="40" t="n"/>
    </row>
    <row r="431" ht="15" customHeight="1" s="34">
      <c r="A431" s="48" t="n"/>
      <c r="B431" s="41">
        <f>IF(A431="","",TEXT(A431,"mmm"))</f>
        <v/>
      </c>
      <c r="C431" s="41" t="n"/>
      <c r="D431" s="42" t="n"/>
      <c r="E431" s="41" t="n"/>
      <c r="F431" s="41">
        <f>IFERROR(INDEX(销售员主数据!$B$2:$B$101,MATCH($E431,销售员主数据!$A$2:$A$101,0)),"")</f>
        <v/>
      </c>
      <c r="G431" s="41">
        <f>IFERROR(INDEX(销售员主数据!$C$2:$C$101,MATCH($E431,销售员主数据!$A$2:$A$101,0)),"")</f>
        <v/>
      </c>
      <c r="H431" s="41">
        <f>IFERROR(INDEX(销售员主数据!$D$2:$D$101,MATCH($E431,销售员主数据!$A$2:$A$101,0)),"")</f>
        <v/>
      </c>
      <c r="I431" s="43" t="n"/>
      <c r="J431" s="43" t="n"/>
      <c r="K431" s="44" t="n"/>
      <c r="L431" s="58" t="n"/>
      <c r="M431" s="59" t="n"/>
      <c r="N431" s="60">
        <f>IF(COUNTBLANK(A431:L431)=12,"",1)</f>
        <v/>
      </c>
      <c r="O431" s="42" t="n"/>
    </row>
    <row r="432" ht="15" customHeight="1" s="34">
      <c r="A432" s="46" t="n"/>
      <c r="B432" s="39">
        <f>IF(A432="","",TEXT(A432,"mmm"))</f>
        <v/>
      </c>
      <c r="C432" s="39" t="n"/>
      <c r="D432" s="40" t="n"/>
      <c r="E432" s="39" t="n"/>
      <c r="F432" s="39">
        <f>IFERROR(INDEX(销售员主数据!$B$2:$B$101,MATCH($E432,销售员主数据!$A$2:$A$101,0)),"")</f>
        <v/>
      </c>
      <c r="G432" s="39">
        <f>IFERROR(INDEX(销售员主数据!$C$2:$C$101,MATCH($E432,销售员主数据!$A$2:$A$101,0)),"")</f>
        <v/>
      </c>
      <c r="H432" s="39">
        <f>IFERROR(INDEX(销售员主数据!$D$2:$D$101,MATCH($E432,销售员主数据!$A$2:$A$101,0)),"")</f>
        <v/>
      </c>
      <c r="I432" s="50" t="n"/>
      <c r="J432" s="50" t="n"/>
      <c r="K432" s="54" t="n"/>
      <c r="L432" s="55" t="n"/>
      <c r="M432" s="56" t="n"/>
      <c r="N432" s="57">
        <f>IF(COUNTBLANK(A432:L432)=12,"",1)</f>
        <v/>
      </c>
      <c r="O432" s="40" t="n"/>
    </row>
    <row r="433" ht="15" customHeight="1" s="34">
      <c r="A433" s="48" t="n"/>
      <c r="B433" s="41">
        <f>IF(A433="","",TEXT(A433,"mmm"))</f>
        <v/>
      </c>
      <c r="C433" s="41" t="n"/>
      <c r="D433" s="42" t="n"/>
      <c r="E433" s="41" t="n"/>
      <c r="F433" s="41">
        <f>IFERROR(INDEX(销售员主数据!$B$2:$B$101,MATCH($E433,销售员主数据!$A$2:$A$101,0)),"")</f>
        <v/>
      </c>
      <c r="G433" s="41">
        <f>IFERROR(INDEX(销售员主数据!$C$2:$C$101,MATCH($E433,销售员主数据!$A$2:$A$101,0)),"")</f>
        <v/>
      </c>
      <c r="H433" s="41">
        <f>IFERROR(INDEX(销售员主数据!$D$2:$D$101,MATCH($E433,销售员主数据!$A$2:$A$101,0)),"")</f>
        <v/>
      </c>
      <c r="I433" s="43" t="n"/>
      <c r="J433" s="43" t="n"/>
      <c r="K433" s="44" t="n"/>
      <c r="L433" s="58" t="n"/>
      <c r="M433" s="59" t="n"/>
      <c r="N433" s="60">
        <f>IF(COUNTBLANK(A433:L433)=12,"",1)</f>
        <v/>
      </c>
      <c r="O433" s="42" t="n"/>
    </row>
    <row r="434" ht="15" customHeight="1" s="34">
      <c r="A434" s="46" t="n"/>
      <c r="B434" s="39">
        <f>IF(A434="","",TEXT(A434,"mmm"))</f>
        <v/>
      </c>
      <c r="C434" s="39" t="n"/>
      <c r="D434" s="40" t="n"/>
      <c r="E434" s="39" t="n"/>
      <c r="F434" s="39">
        <f>IFERROR(INDEX(销售员主数据!$B$2:$B$101,MATCH($E434,销售员主数据!$A$2:$A$101,0)),"")</f>
        <v/>
      </c>
      <c r="G434" s="39">
        <f>IFERROR(INDEX(销售员主数据!$C$2:$C$101,MATCH($E434,销售员主数据!$A$2:$A$101,0)),"")</f>
        <v/>
      </c>
      <c r="H434" s="39">
        <f>IFERROR(INDEX(销售员主数据!$D$2:$D$101,MATCH($E434,销售员主数据!$A$2:$A$101,0)),"")</f>
        <v/>
      </c>
      <c r="I434" s="50" t="n"/>
      <c r="J434" s="50" t="n"/>
      <c r="K434" s="54" t="n"/>
      <c r="L434" s="55" t="n"/>
      <c r="M434" s="56" t="n"/>
      <c r="N434" s="57">
        <f>IF(COUNTBLANK(A434:L434)=12,"",1)</f>
        <v/>
      </c>
      <c r="O434" s="40" t="n"/>
    </row>
    <row r="435" ht="15" customHeight="1" s="34">
      <c r="A435" s="48" t="n"/>
      <c r="B435" s="41">
        <f>IF(A435="","",TEXT(A435,"mmm"))</f>
        <v/>
      </c>
      <c r="C435" s="41" t="n"/>
      <c r="D435" s="42" t="n"/>
      <c r="E435" s="41" t="n"/>
      <c r="F435" s="41">
        <f>IFERROR(INDEX(销售员主数据!$B$2:$B$101,MATCH($E435,销售员主数据!$A$2:$A$101,0)),"")</f>
        <v/>
      </c>
      <c r="G435" s="41">
        <f>IFERROR(INDEX(销售员主数据!$C$2:$C$101,MATCH($E435,销售员主数据!$A$2:$A$101,0)),"")</f>
        <v/>
      </c>
      <c r="H435" s="41">
        <f>IFERROR(INDEX(销售员主数据!$D$2:$D$101,MATCH($E435,销售员主数据!$A$2:$A$101,0)),"")</f>
        <v/>
      </c>
      <c r="I435" s="43" t="n"/>
      <c r="J435" s="43" t="n"/>
      <c r="K435" s="44" t="n"/>
      <c r="L435" s="58" t="n"/>
      <c r="M435" s="59" t="n"/>
      <c r="N435" s="60">
        <f>IF(COUNTBLANK(A435:L435)=12,"",1)</f>
        <v/>
      </c>
      <c r="O435" s="42" t="n"/>
    </row>
    <row r="436" ht="15" customHeight="1" s="34">
      <c r="A436" s="46" t="n"/>
      <c r="B436" s="39">
        <f>IF(A436="","",TEXT(A436,"mmm"))</f>
        <v/>
      </c>
      <c r="C436" s="39" t="n"/>
      <c r="D436" s="40" t="n"/>
      <c r="E436" s="39" t="n"/>
      <c r="F436" s="39">
        <f>IFERROR(INDEX(销售员主数据!$B$2:$B$101,MATCH($E436,销售员主数据!$A$2:$A$101,0)),"")</f>
        <v/>
      </c>
      <c r="G436" s="39">
        <f>IFERROR(INDEX(销售员主数据!$C$2:$C$101,MATCH($E436,销售员主数据!$A$2:$A$101,0)),"")</f>
        <v/>
      </c>
      <c r="H436" s="39">
        <f>IFERROR(INDEX(销售员主数据!$D$2:$D$101,MATCH($E436,销售员主数据!$A$2:$A$101,0)),"")</f>
        <v/>
      </c>
      <c r="I436" s="50" t="n"/>
      <c r="J436" s="50" t="n"/>
      <c r="K436" s="54" t="n"/>
      <c r="L436" s="55" t="n"/>
      <c r="M436" s="56" t="n"/>
      <c r="N436" s="57">
        <f>IF(COUNTBLANK(A436:L436)=12,"",1)</f>
        <v/>
      </c>
      <c r="O436" s="40" t="n"/>
    </row>
    <row r="437" ht="15" customHeight="1" s="34">
      <c r="A437" s="48" t="n"/>
      <c r="B437" s="41">
        <f>IF(A437="","",TEXT(A437,"mmm"))</f>
        <v/>
      </c>
      <c r="C437" s="41" t="n"/>
      <c r="D437" s="42" t="n"/>
      <c r="E437" s="41" t="n"/>
      <c r="F437" s="41">
        <f>IFERROR(INDEX(销售员主数据!$B$2:$B$101,MATCH($E437,销售员主数据!$A$2:$A$101,0)),"")</f>
        <v/>
      </c>
      <c r="G437" s="41">
        <f>IFERROR(INDEX(销售员主数据!$C$2:$C$101,MATCH($E437,销售员主数据!$A$2:$A$101,0)),"")</f>
        <v/>
      </c>
      <c r="H437" s="41">
        <f>IFERROR(INDEX(销售员主数据!$D$2:$D$101,MATCH($E437,销售员主数据!$A$2:$A$101,0)),"")</f>
        <v/>
      </c>
      <c r="I437" s="43" t="n"/>
      <c r="J437" s="43" t="n"/>
      <c r="K437" s="44" t="n"/>
      <c r="L437" s="58" t="n"/>
      <c r="M437" s="59" t="n"/>
      <c r="N437" s="60">
        <f>IF(COUNTBLANK(A437:L437)=12,"",1)</f>
        <v/>
      </c>
      <c r="O437" s="42" t="n"/>
    </row>
    <row r="438" ht="15" customHeight="1" s="34">
      <c r="A438" s="46" t="n"/>
      <c r="B438" s="39">
        <f>IF(A438="","",TEXT(A438,"mmm"))</f>
        <v/>
      </c>
      <c r="C438" s="39" t="n"/>
      <c r="D438" s="40" t="n"/>
      <c r="E438" s="39" t="n"/>
      <c r="F438" s="39">
        <f>IFERROR(INDEX(销售员主数据!$B$2:$B$101,MATCH($E438,销售员主数据!$A$2:$A$101,0)),"")</f>
        <v/>
      </c>
      <c r="G438" s="39">
        <f>IFERROR(INDEX(销售员主数据!$C$2:$C$101,MATCH($E438,销售员主数据!$A$2:$A$101,0)),"")</f>
        <v/>
      </c>
      <c r="H438" s="39">
        <f>IFERROR(INDEX(销售员主数据!$D$2:$D$101,MATCH($E438,销售员主数据!$A$2:$A$101,0)),"")</f>
        <v/>
      </c>
      <c r="I438" s="50" t="n"/>
      <c r="J438" s="50" t="n"/>
      <c r="K438" s="54" t="n"/>
      <c r="L438" s="55" t="n"/>
      <c r="M438" s="56" t="n"/>
      <c r="N438" s="57">
        <f>IF(COUNTBLANK(A438:L438)=12,"",1)</f>
        <v/>
      </c>
      <c r="O438" s="40" t="n"/>
    </row>
    <row r="439" ht="15" customHeight="1" s="34">
      <c r="A439" s="48" t="n"/>
      <c r="B439" s="41">
        <f>IF(A439="","",TEXT(A439,"mmm"))</f>
        <v/>
      </c>
      <c r="C439" s="41" t="n"/>
      <c r="D439" s="42" t="n"/>
      <c r="E439" s="41" t="n"/>
      <c r="F439" s="41">
        <f>IFERROR(INDEX(销售员主数据!$B$2:$B$101,MATCH($E439,销售员主数据!$A$2:$A$101,0)),"")</f>
        <v/>
      </c>
      <c r="G439" s="41">
        <f>IFERROR(INDEX(销售员主数据!$C$2:$C$101,MATCH($E439,销售员主数据!$A$2:$A$101,0)),"")</f>
        <v/>
      </c>
      <c r="H439" s="41">
        <f>IFERROR(INDEX(销售员主数据!$D$2:$D$101,MATCH($E439,销售员主数据!$A$2:$A$101,0)),"")</f>
        <v/>
      </c>
      <c r="I439" s="43" t="n"/>
      <c r="J439" s="43" t="n"/>
      <c r="K439" s="44" t="n"/>
      <c r="L439" s="58" t="n"/>
      <c r="M439" s="59" t="n"/>
      <c r="N439" s="60">
        <f>IF(COUNTBLANK(A439:L439)=12,"",1)</f>
        <v/>
      </c>
      <c r="O439" s="42" t="n"/>
    </row>
    <row r="440" ht="15" customHeight="1" s="34">
      <c r="A440" s="46" t="n"/>
      <c r="B440" s="39">
        <f>IF(A440="","",TEXT(A440,"mmm"))</f>
        <v/>
      </c>
      <c r="C440" s="39" t="n"/>
      <c r="D440" s="40" t="n"/>
      <c r="E440" s="39" t="n"/>
      <c r="F440" s="39">
        <f>IFERROR(INDEX(销售员主数据!$B$2:$B$101,MATCH($E440,销售员主数据!$A$2:$A$101,0)),"")</f>
        <v/>
      </c>
      <c r="G440" s="39">
        <f>IFERROR(INDEX(销售员主数据!$C$2:$C$101,MATCH($E440,销售员主数据!$A$2:$A$101,0)),"")</f>
        <v/>
      </c>
      <c r="H440" s="39">
        <f>IFERROR(INDEX(销售员主数据!$D$2:$D$101,MATCH($E440,销售员主数据!$A$2:$A$101,0)),"")</f>
        <v/>
      </c>
      <c r="I440" s="50" t="n"/>
      <c r="J440" s="50" t="n"/>
      <c r="K440" s="54" t="n"/>
      <c r="L440" s="55" t="n"/>
      <c r="M440" s="56" t="n"/>
      <c r="N440" s="57">
        <f>IF(COUNTBLANK(A440:L440)=12,"",1)</f>
        <v/>
      </c>
      <c r="O440" s="40" t="n"/>
    </row>
    <row r="441" ht="15" customHeight="1" s="34">
      <c r="A441" s="48" t="n"/>
      <c r="B441" s="41">
        <f>IF(A441="","",TEXT(A441,"mmm"))</f>
        <v/>
      </c>
      <c r="C441" s="41" t="n"/>
      <c r="D441" s="42" t="n"/>
      <c r="E441" s="41" t="n"/>
      <c r="F441" s="41">
        <f>IFERROR(INDEX(销售员主数据!$B$2:$B$101,MATCH($E441,销售员主数据!$A$2:$A$101,0)),"")</f>
        <v/>
      </c>
      <c r="G441" s="41">
        <f>IFERROR(INDEX(销售员主数据!$C$2:$C$101,MATCH($E441,销售员主数据!$A$2:$A$101,0)),"")</f>
        <v/>
      </c>
      <c r="H441" s="41">
        <f>IFERROR(INDEX(销售员主数据!$D$2:$D$101,MATCH($E441,销售员主数据!$A$2:$A$101,0)),"")</f>
        <v/>
      </c>
      <c r="I441" s="43" t="n"/>
      <c r="J441" s="43" t="n"/>
      <c r="K441" s="44" t="n"/>
      <c r="L441" s="58" t="n"/>
      <c r="M441" s="59" t="n"/>
      <c r="N441" s="60">
        <f>IF(COUNTBLANK(A441:L441)=12,"",1)</f>
        <v/>
      </c>
      <c r="O441" s="42" t="n"/>
    </row>
    <row r="442" ht="15" customHeight="1" s="34">
      <c r="A442" s="46" t="n"/>
      <c r="B442" s="39">
        <f>IF(A442="","",TEXT(A442,"mmm"))</f>
        <v/>
      </c>
      <c r="C442" s="39" t="n"/>
      <c r="D442" s="40" t="n"/>
      <c r="E442" s="39" t="n"/>
      <c r="F442" s="39">
        <f>IFERROR(INDEX(销售员主数据!$B$2:$B$101,MATCH($E442,销售员主数据!$A$2:$A$101,0)),"")</f>
        <v/>
      </c>
      <c r="G442" s="39">
        <f>IFERROR(INDEX(销售员主数据!$C$2:$C$101,MATCH($E442,销售员主数据!$A$2:$A$101,0)),"")</f>
        <v/>
      </c>
      <c r="H442" s="39">
        <f>IFERROR(INDEX(销售员主数据!$D$2:$D$101,MATCH($E442,销售员主数据!$A$2:$A$101,0)),"")</f>
        <v/>
      </c>
      <c r="I442" s="50" t="n"/>
      <c r="J442" s="50" t="n"/>
      <c r="K442" s="54" t="n"/>
      <c r="L442" s="55" t="n"/>
      <c r="M442" s="56" t="n"/>
      <c r="N442" s="57">
        <f>IF(COUNTBLANK(A442:L442)=12,"",1)</f>
        <v/>
      </c>
      <c r="O442" s="40" t="n"/>
    </row>
    <row r="443" ht="15" customHeight="1" s="34">
      <c r="A443" s="48" t="n"/>
      <c r="B443" s="41">
        <f>IF(A443="","",TEXT(A443,"mmm"))</f>
        <v/>
      </c>
      <c r="C443" s="41" t="n"/>
      <c r="D443" s="42" t="n"/>
      <c r="E443" s="41" t="n"/>
      <c r="F443" s="41">
        <f>IFERROR(INDEX(销售员主数据!$B$2:$B$101,MATCH($E443,销售员主数据!$A$2:$A$101,0)),"")</f>
        <v/>
      </c>
      <c r="G443" s="41">
        <f>IFERROR(INDEX(销售员主数据!$C$2:$C$101,MATCH($E443,销售员主数据!$A$2:$A$101,0)),"")</f>
        <v/>
      </c>
      <c r="H443" s="41">
        <f>IFERROR(INDEX(销售员主数据!$D$2:$D$101,MATCH($E443,销售员主数据!$A$2:$A$101,0)),"")</f>
        <v/>
      </c>
      <c r="I443" s="43" t="n"/>
      <c r="J443" s="43" t="n"/>
      <c r="K443" s="44" t="n"/>
      <c r="L443" s="58" t="n"/>
      <c r="M443" s="59" t="n"/>
      <c r="N443" s="60">
        <f>IF(COUNTBLANK(A443:L443)=12,"",1)</f>
        <v/>
      </c>
      <c r="O443" s="42" t="n"/>
    </row>
    <row r="444" ht="15" customHeight="1" s="34">
      <c r="A444" s="46" t="n"/>
      <c r="B444" s="39">
        <f>IF(A444="","",TEXT(A444,"mmm"))</f>
        <v/>
      </c>
      <c r="C444" s="39" t="n"/>
      <c r="D444" s="40" t="n"/>
      <c r="E444" s="39" t="n"/>
      <c r="F444" s="39">
        <f>IFERROR(INDEX(销售员主数据!$B$2:$B$101,MATCH($E444,销售员主数据!$A$2:$A$101,0)),"")</f>
        <v/>
      </c>
      <c r="G444" s="39">
        <f>IFERROR(INDEX(销售员主数据!$C$2:$C$101,MATCH($E444,销售员主数据!$A$2:$A$101,0)),"")</f>
        <v/>
      </c>
      <c r="H444" s="39">
        <f>IFERROR(INDEX(销售员主数据!$D$2:$D$101,MATCH($E444,销售员主数据!$A$2:$A$101,0)),"")</f>
        <v/>
      </c>
      <c r="I444" s="50" t="n"/>
      <c r="J444" s="50" t="n"/>
      <c r="K444" s="54" t="n"/>
      <c r="L444" s="55" t="n"/>
      <c r="M444" s="56" t="n"/>
      <c r="N444" s="57">
        <f>IF(COUNTBLANK(A444:L444)=12,"",1)</f>
        <v/>
      </c>
      <c r="O444" s="40" t="n"/>
    </row>
    <row r="445" ht="15" customHeight="1" s="34">
      <c r="A445" s="48" t="n"/>
      <c r="B445" s="41">
        <f>IF(A445="","",TEXT(A445,"mmm"))</f>
        <v/>
      </c>
      <c r="C445" s="41" t="n"/>
      <c r="D445" s="42" t="n"/>
      <c r="E445" s="41" t="n"/>
      <c r="F445" s="41">
        <f>IFERROR(INDEX(销售员主数据!$B$2:$B$101,MATCH($E445,销售员主数据!$A$2:$A$101,0)),"")</f>
        <v/>
      </c>
      <c r="G445" s="41">
        <f>IFERROR(INDEX(销售员主数据!$C$2:$C$101,MATCH($E445,销售员主数据!$A$2:$A$101,0)),"")</f>
        <v/>
      </c>
      <c r="H445" s="41">
        <f>IFERROR(INDEX(销售员主数据!$D$2:$D$101,MATCH($E445,销售员主数据!$A$2:$A$101,0)),"")</f>
        <v/>
      </c>
      <c r="I445" s="43" t="n"/>
      <c r="J445" s="43" t="n"/>
      <c r="K445" s="44" t="n"/>
      <c r="L445" s="58" t="n"/>
      <c r="M445" s="59" t="n"/>
      <c r="N445" s="60">
        <f>IF(COUNTBLANK(A445:L445)=12,"",1)</f>
        <v/>
      </c>
      <c r="O445" s="42" t="n"/>
    </row>
    <row r="446" ht="15" customHeight="1" s="34">
      <c r="A446" s="46" t="n"/>
      <c r="B446" s="39">
        <f>IF(A446="","",TEXT(A446,"mmm"))</f>
        <v/>
      </c>
      <c r="C446" s="39" t="n"/>
      <c r="D446" s="40" t="n"/>
      <c r="E446" s="39" t="n"/>
      <c r="F446" s="39">
        <f>IFERROR(INDEX(销售员主数据!$B$2:$B$101,MATCH($E446,销售员主数据!$A$2:$A$101,0)),"")</f>
        <v/>
      </c>
      <c r="G446" s="39">
        <f>IFERROR(INDEX(销售员主数据!$C$2:$C$101,MATCH($E446,销售员主数据!$A$2:$A$101,0)),"")</f>
        <v/>
      </c>
      <c r="H446" s="39">
        <f>IFERROR(INDEX(销售员主数据!$D$2:$D$101,MATCH($E446,销售员主数据!$A$2:$A$101,0)),"")</f>
        <v/>
      </c>
      <c r="I446" s="50" t="n"/>
      <c r="J446" s="50" t="n"/>
      <c r="K446" s="54" t="n"/>
      <c r="L446" s="55" t="n"/>
      <c r="M446" s="56" t="n"/>
      <c r="N446" s="57">
        <f>IF(COUNTBLANK(A446:L446)=12,"",1)</f>
        <v/>
      </c>
      <c r="O446" s="40" t="n"/>
    </row>
    <row r="447" ht="15" customHeight="1" s="34">
      <c r="A447" s="48" t="n"/>
      <c r="B447" s="41">
        <f>IF(A447="","",TEXT(A447,"mmm"))</f>
        <v/>
      </c>
      <c r="C447" s="41" t="n"/>
      <c r="D447" s="42" t="n"/>
      <c r="E447" s="41" t="n"/>
      <c r="F447" s="41">
        <f>IFERROR(INDEX(销售员主数据!$B$2:$B$101,MATCH($E447,销售员主数据!$A$2:$A$101,0)),"")</f>
        <v/>
      </c>
      <c r="G447" s="41">
        <f>IFERROR(INDEX(销售员主数据!$C$2:$C$101,MATCH($E447,销售员主数据!$A$2:$A$101,0)),"")</f>
        <v/>
      </c>
      <c r="H447" s="41">
        <f>IFERROR(INDEX(销售员主数据!$D$2:$D$101,MATCH($E447,销售员主数据!$A$2:$A$101,0)),"")</f>
        <v/>
      </c>
      <c r="I447" s="43" t="n"/>
      <c r="J447" s="43" t="n"/>
      <c r="K447" s="44" t="n"/>
      <c r="L447" s="58" t="n"/>
      <c r="M447" s="59" t="n"/>
      <c r="N447" s="60">
        <f>IF(COUNTBLANK(A447:L447)=12,"",1)</f>
        <v/>
      </c>
      <c r="O447" s="42" t="n"/>
    </row>
    <row r="448" ht="15" customHeight="1" s="34">
      <c r="A448" s="46" t="n"/>
      <c r="B448" s="39">
        <f>IF(A448="","",TEXT(A448,"mmm"))</f>
        <v/>
      </c>
      <c r="C448" s="39" t="n"/>
      <c r="D448" s="40" t="n"/>
      <c r="E448" s="39" t="n"/>
      <c r="F448" s="39">
        <f>IFERROR(INDEX(销售员主数据!$B$2:$B$101,MATCH($E448,销售员主数据!$A$2:$A$101,0)),"")</f>
        <v/>
      </c>
      <c r="G448" s="39">
        <f>IFERROR(INDEX(销售员主数据!$C$2:$C$101,MATCH($E448,销售员主数据!$A$2:$A$101,0)),"")</f>
        <v/>
      </c>
      <c r="H448" s="39">
        <f>IFERROR(INDEX(销售员主数据!$D$2:$D$101,MATCH($E448,销售员主数据!$A$2:$A$101,0)),"")</f>
        <v/>
      </c>
      <c r="I448" s="50" t="n"/>
      <c r="J448" s="50" t="n"/>
      <c r="K448" s="54" t="n"/>
      <c r="L448" s="55" t="n"/>
      <c r="M448" s="56" t="n"/>
      <c r="N448" s="57">
        <f>IF(COUNTBLANK(A448:L448)=12,"",1)</f>
        <v/>
      </c>
      <c r="O448" s="40" t="n"/>
    </row>
    <row r="449" ht="15" customHeight="1" s="34">
      <c r="A449" s="48" t="n"/>
      <c r="B449" s="41">
        <f>IF(A449="","",TEXT(A449,"mmm"))</f>
        <v/>
      </c>
      <c r="C449" s="41" t="n"/>
      <c r="D449" s="42" t="n"/>
      <c r="E449" s="41" t="n"/>
      <c r="F449" s="41">
        <f>IFERROR(INDEX(销售员主数据!$B$2:$B$101,MATCH($E449,销售员主数据!$A$2:$A$101,0)),"")</f>
        <v/>
      </c>
      <c r="G449" s="41">
        <f>IFERROR(INDEX(销售员主数据!$C$2:$C$101,MATCH($E449,销售员主数据!$A$2:$A$101,0)),"")</f>
        <v/>
      </c>
      <c r="H449" s="41">
        <f>IFERROR(INDEX(销售员主数据!$D$2:$D$101,MATCH($E449,销售员主数据!$A$2:$A$101,0)),"")</f>
        <v/>
      </c>
      <c r="I449" s="43" t="n"/>
      <c r="J449" s="43" t="n"/>
      <c r="K449" s="44" t="n"/>
      <c r="L449" s="58" t="n"/>
      <c r="M449" s="59" t="n"/>
      <c r="N449" s="60">
        <f>IF(COUNTBLANK(A449:L449)=12,"",1)</f>
        <v/>
      </c>
      <c r="O449" s="42" t="n"/>
    </row>
    <row r="450" ht="15" customHeight="1" s="34">
      <c r="A450" s="46" t="n"/>
      <c r="B450" s="39">
        <f>IF(A450="","",TEXT(A450,"mmm"))</f>
        <v/>
      </c>
      <c r="C450" s="39" t="n"/>
      <c r="D450" s="40" t="n"/>
      <c r="E450" s="39" t="n"/>
      <c r="F450" s="39">
        <f>IFERROR(INDEX(销售员主数据!$B$2:$B$101,MATCH($E450,销售员主数据!$A$2:$A$101,0)),"")</f>
        <v/>
      </c>
      <c r="G450" s="39">
        <f>IFERROR(INDEX(销售员主数据!$C$2:$C$101,MATCH($E450,销售员主数据!$A$2:$A$101,0)),"")</f>
        <v/>
      </c>
      <c r="H450" s="39">
        <f>IFERROR(INDEX(销售员主数据!$D$2:$D$101,MATCH($E450,销售员主数据!$A$2:$A$101,0)),"")</f>
        <v/>
      </c>
      <c r="I450" s="50" t="n"/>
      <c r="J450" s="50" t="n"/>
      <c r="K450" s="54" t="n"/>
      <c r="L450" s="55" t="n"/>
      <c r="M450" s="56" t="n"/>
      <c r="N450" s="57">
        <f>IF(COUNTBLANK(A450:L450)=12,"",1)</f>
        <v/>
      </c>
      <c r="O450" s="40" t="n"/>
    </row>
    <row r="451" ht="15" customHeight="1" s="34">
      <c r="A451" s="48" t="n"/>
      <c r="B451" s="41">
        <f>IF(A451="","",TEXT(A451,"mmm"))</f>
        <v/>
      </c>
      <c r="C451" s="41" t="n"/>
      <c r="D451" s="42" t="n"/>
      <c r="E451" s="41" t="n"/>
      <c r="F451" s="41">
        <f>IFERROR(INDEX(销售员主数据!$B$2:$B$101,MATCH($E451,销售员主数据!$A$2:$A$101,0)),"")</f>
        <v/>
      </c>
      <c r="G451" s="41">
        <f>IFERROR(INDEX(销售员主数据!$C$2:$C$101,MATCH($E451,销售员主数据!$A$2:$A$101,0)),"")</f>
        <v/>
      </c>
      <c r="H451" s="41">
        <f>IFERROR(INDEX(销售员主数据!$D$2:$D$101,MATCH($E451,销售员主数据!$A$2:$A$101,0)),"")</f>
        <v/>
      </c>
      <c r="I451" s="43" t="n"/>
      <c r="J451" s="43" t="n"/>
      <c r="K451" s="44" t="n"/>
      <c r="L451" s="58" t="n"/>
      <c r="M451" s="59" t="n"/>
      <c r="N451" s="60">
        <f>IF(COUNTBLANK(A451:L451)=12,"",1)</f>
        <v/>
      </c>
      <c r="O451" s="42" t="n"/>
    </row>
    <row r="452" ht="15" customHeight="1" s="34">
      <c r="A452" s="46" t="n"/>
      <c r="B452" s="39">
        <f>IF(A452="","",TEXT(A452,"mmm"))</f>
        <v/>
      </c>
      <c r="C452" s="39" t="n"/>
      <c r="D452" s="40" t="n"/>
      <c r="E452" s="39" t="n"/>
      <c r="F452" s="39">
        <f>IFERROR(INDEX(销售员主数据!$B$2:$B$101,MATCH($E452,销售员主数据!$A$2:$A$101,0)),"")</f>
        <v/>
      </c>
      <c r="G452" s="39">
        <f>IFERROR(INDEX(销售员主数据!$C$2:$C$101,MATCH($E452,销售员主数据!$A$2:$A$101,0)),"")</f>
        <v/>
      </c>
      <c r="H452" s="39">
        <f>IFERROR(INDEX(销售员主数据!$D$2:$D$101,MATCH($E452,销售员主数据!$A$2:$A$101,0)),"")</f>
        <v/>
      </c>
      <c r="I452" s="50" t="n"/>
      <c r="J452" s="50" t="n"/>
      <c r="K452" s="54" t="n"/>
      <c r="L452" s="55" t="n"/>
      <c r="M452" s="56" t="n"/>
      <c r="N452" s="57">
        <f>IF(COUNTBLANK(A452:L452)=12,"",1)</f>
        <v/>
      </c>
      <c r="O452" s="40" t="n"/>
    </row>
    <row r="453" ht="15" customHeight="1" s="34">
      <c r="A453" s="48" t="n"/>
      <c r="B453" s="41">
        <f>IF(A453="","",TEXT(A453,"mmm"))</f>
        <v/>
      </c>
      <c r="C453" s="41" t="n"/>
      <c r="D453" s="42" t="n"/>
      <c r="E453" s="41" t="n"/>
      <c r="F453" s="41">
        <f>IFERROR(INDEX(销售员主数据!$B$2:$B$101,MATCH($E453,销售员主数据!$A$2:$A$101,0)),"")</f>
        <v/>
      </c>
      <c r="G453" s="41">
        <f>IFERROR(INDEX(销售员主数据!$C$2:$C$101,MATCH($E453,销售员主数据!$A$2:$A$101,0)),"")</f>
        <v/>
      </c>
      <c r="H453" s="41">
        <f>IFERROR(INDEX(销售员主数据!$D$2:$D$101,MATCH($E453,销售员主数据!$A$2:$A$101,0)),"")</f>
        <v/>
      </c>
      <c r="I453" s="43" t="n"/>
      <c r="J453" s="43" t="n"/>
      <c r="K453" s="44" t="n"/>
      <c r="L453" s="58" t="n"/>
      <c r="M453" s="59" t="n"/>
      <c r="N453" s="60">
        <f>IF(COUNTBLANK(A453:L453)=12,"",1)</f>
        <v/>
      </c>
      <c r="O453" s="42" t="n"/>
    </row>
    <row r="454" ht="15" customHeight="1" s="34">
      <c r="A454" s="46" t="n"/>
      <c r="B454" s="39">
        <f>IF(A454="","",TEXT(A454,"mmm"))</f>
        <v/>
      </c>
      <c r="C454" s="39" t="n"/>
      <c r="D454" s="40" t="n"/>
      <c r="E454" s="39" t="n"/>
      <c r="F454" s="39">
        <f>IFERROR(INDEX(销售员主数据!$B$2:$B$101,MATCH($E454,销售员主数据!$A$2:$A$101,0)),"")</f>
        <v/>
      </c>
      <c r="G454" s="39">
        <f>IFERROR(INDEX(销售员主数据!$C$2:$C$101,MATCH($E454,销售员主数据!$A$2:$A$101,0)),"")</f>
        <v/>
      </c>
      <c r="H454" s="39">
        <f>IFERROR(INDEX(销售员主数据!$D$2:$D$101,MATCH($E454,销售员主数据!$A$2:$A$101,0)),"")</f>
        <v/>
      </c>
      <c r="I454" s="50" t="n"/>
      <c r="J454" s="50" t="n"/>
      <c r="K454" s="54" t="n"/>
      <c r="L454" s="55" t="n"/>
      <c r="M454" s="56" t="n"/>
      <c r="N454" s="57">
        <f>IF(COUNTBLANK(A454:L454)=12,"",1)</f>
        <v/>
      </c>
      <c r="O454" s="40" t="n"/>
    </row>
    <row r="455" ht="15" customHeight="1" s="34">
      <c r="A455" s="48" t="n"/>
      <c r="B455" s="41">
        <f>IF(A455="","",TEXT(A455,"mmm"))</f>
        <v/>
      </c>
      <c r="C455" s="41" t="n"/>
      <c r="D455" s="42" t="n"/>
      <c r="E455" s="41" t="n"/>
      <c r="F455" s="41">
        <f>IFERROR(INDEX(销售员主数据!$B$2:$B$101,MATCH($E455,销售员主数据!$A$2:$A$101,0)),"")</f>
        <v/>
      </c>
      <c r="G455" s="41">
        <f>IFERROR(INDEX(销售员主数据!$C$2:$C$101,MATCH($E455,销售员主数据!$A$2:$A$101,0)),"")</f>
        <v/>
      </c>
      <c r="H455" s="41">
        <f>IFERROR(INDEX(销售员主数据!$D$2:$D$101,MATCH($E455,销售员主数据!$A$2:$A$101,0)),"")</f>
        <v/>
      </c>
      <c r="I455" s="43" t="n"/>
      <c r="J455" s="43" t="n"/>
      <c r="K455" s="44" t="n"/>
      <c r="L455" s="58" t="n"/>
      <c r="M455" s="59" t="n"/>
      <c r="N455" s="60">
        <f>IF(COUNTBLANK(A455:L455)=12,"",1)</f>
        <v/>
      </c>
      <c r="O455" s="42" t="n"/>
    </row>
    <row r="456" ht="15" customHeight="1" s="34">
      <c r="A456" s="46" t="n"/>
      <c r="B456" s="39">
        <f>IF(A456="","",TEXT(A456,"mmm"))</f>
        <v/>
      </c>
      <c r="C456" s="39" t="n"/>
      <c r="D456" s="40" t="n"/>
      <c r="E456" s="39" t="n"/>
      <c r="F456" s="39">
        <f>IFERROR(INDEX(销售员主数据!$B$2:$B$101,MATCH($E456,销售员主数据!$A$2:$A$101,0)),"")</f>
        <v/>
      </c>
      <c r="G456" s="39">
        <f>IFERROR(INDEX(销售员主数据!$C$2:$C$101,MATCH($E456,销售员主数据!$A$2:$A$101,0)),"")</f>
        <v/>
      </c>
      <c r="H456" s="39">
        <f>IFERROR(INDEX(销售员主数据!$D$2:$D$101,MATCH($E456,销售员主数据!$A$2:$A$101,0)),"")</f>
        <v/>
      </c>
      <c r="I456" s="50" t="n"/>
      <c r="J456" s="50" t="n"/>
      <c r="K456" s="54" t="n"/>
      <c r="L456" s="55" t="n"/>
      <c r="M456" s="56" t="n"/>
      <c r="N456" s="57">
        <f>IF(COUNTBLANK(A456:L456)=12,"",1)</f>
        <v/>
      </c>
      <c r="O456" s="40" t="n"/>
    </row>
    <row r="457" ht="15" customHeight="1" s="34">
      <c r="A457" s="48" t="n"/>
      <c r="B457" s="41">
        <f>IF(A457="","",TEXT(A457,"mmm"))</f>
        <v/>
      </c>
      <c r="C457" s="41" t="n"/>
      <c r="D457" s="42" t="n"/>
      <c r="E457" s="41" t="n"/>
      <c r="F457" s="41">
        <f>IFERROR(INDEX(销售员主数据!$B$2:$B$101,MATCH($E457,销售员主数据!$A$2:$A$101,0)),"")</f>
        <v/>
      </c>
      <c r="G457" s="41">
        <f>IFERROR(INDEX(销售员主数据!$C$2:$C$101,MATCH($E457,销售员主数据!$A$2:$A$101,0)),"")</f>
        <v/>
      </c>
      <c r="H457" s="41">
        <f>IFERROR(INDEX(销售员主数据!$D$2:$D$101,MATCH($E457,销售员主数据!$A$2:$A$101,0)),"")</f>
        <v/>
      </c>
      <c r="I457" s="43" t="n"/>
      <c r="J457" s="43" t="n"/>
      <c r="K457" s="44" t="n"/>
      <c r="L457" s="58" t="n"/>
      <c r="M457" s="59" t="n"/>
      <c r="N457" s="60">
        <f>IF(COUNTBLANK(A457:L457)=12,"",1)</f>
        <v/>
      </c>
      <c r="O457" s="42" t="n"/>
    </row>
    <row r="458" ht="15" customHeight="1" s="34">
      <c r="A458" s="46" t="n"/>
      <c r="B458" s="39">
        <f>IF(A458="","",TEXT(A458,"mmm"))</f>
        <v/>
      </c>
      <c r="C458" s="39" t="n"/>
      <c r="D458" s="40" t="n"/>
      <c r="E458" s="39" t="n"/>
      <c r="F458" s="39">
        <f>IFERROR(INDEX(销售员主数据!$B$2:$B$101,MATCH($E458,销售员主数据!$A$2:$A$101,0)),"")</f>
        <v/>
      </c>
      <c r="G458" s="39">
        <f>IFERROR(INDEX(销售员主数据!$C$2:$C$101,MATCH($E458,销售员主数据!$A$2:$A$101,0)),"")</f>
        <v/>
      </c>
      <c r="H458" s="39">
        <f>IFERROR(INDEX(销售员主数据!$D$2:$D$101,MATCH($E458,销售员主数据!$A$2:$A$101,0)),"")</f>
        <v/>
      </c>
      <c r="I458" s="50" t="n"/>
      <c r="J458" s="50" t="n"/>
      <c r="K458" s="54" t="n"/>
      <c r="L458" s="55" t="n"/>
      <c r="M458" s="56" t="n"/>
      <c r="N458" s="57">
        <f>IF(COUNTBLANK(A458:L458)=12,"",1)</f>
        <v/>
      </c>
      <c r="O458" s="40" t="n"/>
    </row>
    <row r="459" ht="15" customHeight="1" s="34">
      <c r="A459" s="48" t="n"/>
      <c r="B459" s="41">
        <f>IF(A459="","",TEXT(A459,"mmm"))</f>
        <v/>
      </c>
      <c r="C459" s="41" t="n"/>
      <c r="D459" s="42" t="n"/>
      <c r="E459" s="41" t="n"/>
      <c r="F459" s="41">
        <f>IFERROR(INDEX(销售员主数据!$B$2:$B$101,MATCH($E459,销售员主数据!$A$2:$A$101,0)),"")</f>
        <v/>
      </c>
      <c r="G459" s="41">
        <f>IFERROR(INDEX(销售员主数据!$C$2:$C$101,MATCH($E459,销售员主数据!$A$2:$A$101,0)),"")</f>
        <v/>
      </c>
      <c r="H459" s="41">
        <f>IFERROR(INDEX(销售员主数据!$D$2:$D$101,MATCH($E459,销售员主数据!$A$2:$A$101,0)),"")</f>
        <v/>
      </c>
      <c r="I459" s="43" t="n"/>
      <c r="J459" s="43" t="n"/>
      <c r="K459" s="44" t="n"/>
      <c r="L459" s="58" t="n"/>
      <c r="M459" s="59" t="n"/>
      <c r="N459" s="60">
        <f>IF(COUNTBLANK(A459:L459)=12,"",1)</f>
        <v/>
      </c>
      <c r="O459" s="42" t="n"/>
    </row>
    <row r="460" ht="15" customHeight="1" s="34">
      <c r="A460" s="46" t="n"/>
      <c r="B460" s="39">
        <f>IF(A460="","",TEXT(A460,"mmm"))</f>
        <v/>
      </c>
      <c r="C460" s="39" t="n"/>
      <c r="D460" s="40" t="n"/>
      <c r="E460" s="39" t="n"/>
      <c r="F460" s="39">
        <f>IFERROR(INDEX(销售员主数据!$B$2:$B$101,MATCH($E460,销售员主数据!$A$2:$A$101,0)),"")</f>
        <v/>
      </c>
      <c r="G460" s="39">
        <f>IFERROR(INDEX(销售员主数据!$C$2:$C$101,MATCH($E460,销售员主数据!$A$2:$A$101,0)),"")</f>
        <v/>
      </c>
      <c r="H460" s="39">
        <f>IFERROR(INDEX(销售员主数据!$D$2:$D$101,MATCH($E460,销售员主数据!$A$2:$A$101,0)),"")</f>
        <v/>
      </c>
      <c r="I460" s="50" t="n"/>
      <c r="J460" s="50" t="n"/>
      <c r="K460" s="54" t="n"/>
      <c r="L460" s="55" t="n"/>
      <c r="M460" s="56" t="n"/>
      <c r="N460" s="57">
        <f>IF(COUNTBLANK(A460:L460)=12,"",1)</f>
        <v/>
      </c>
      <c r="O460" s="40" t="n"/>
    </row>
    <row r="461" ht="15" customHeight="1" s="34">
      <c r="A461" s="48" t="n"/>
      <c r="B461" s="41">
        <f>IF(A461="","",TEXT(A461,"mmm"))</f>
        <v/>
      </c>
      <c r="C461" s="41" t="n"/>
      <c r="D461" s="42" t="n"/>
      <c r="E461" s="41" t="n"/>
      <c r="F461" s="41">
        <f>IFERROR(INDEX(销售员主数据!$B$2:$B$101,MATCH($E461,销售员主数据!$A$2:$A$101,0)),"")</f>
        <v/>
      </c>
      <c r="G461" s="41">
        <f>IFERROR(INDEX(销售员主数据!$C$2:$C$101,MATCH($E461,销售员主数据!$A$2:$A$101,0)),"")</f>
        <v/>
      </c>
      <c r="H461" s="41">
        <f>IFERROR(INDEX(销售员主数据!$D$2:$D$101,MATCH($E461,销售员主数据!$A$2:$A$101,0)),"")</f>
        <v/>
      </c>
      <c r="I461" s="43" t="n"/>
      <c r="J461" s="43" t="n"/>
      <c r="K461" s="44" t="n"/>
      <c r="L461" s="58" t="n"/>
      <c r="M461" s="59" t="n"/>
      <c r="N461" s="60">
        <f>IF(COUNTBLANK(A461:L461)=12,"",1)</f>
        <v/>
      </c>
      <c r="O461" s="42" t="n"/>
    </row>
    <row r="462" ht="15" customHeight="1" s="34">
      <c r="A462" s="46" t="n"/>
      <c r="B462" s="39">
        <f>IF(A462="","",TEXT(A462,"mmm"))</f>
        <v/>
      </c>
      <c r="C462" s="39" t="n"/>
      <c r="D462" s="40" t="n"/>
      <c r="E462" s="39" t="n"/>
      <c r="F462" s="39">
        <f>IFERROR(INDEX(销售员主数据!$B$2:$B$101,MATCH($E462,销售员主数据!$A$2:$A$101,0)),"")</f>
        <v/>
      </c>
      <c r="G462" s="39">
        <f>IFERROR(INDEX(销售员主数据!$C$2:$C$101,MATCH($E462,销售员主数据!$A$2:$A$101,0)),"")</f>
        <v/>
      </c>
      <c r="H462" s="39">
        <f>IFERROR(INDEX(销售员主数据!$D$2:$D$101,MATCH($E462,销售员主数据!$A$2:$A$101,0)),"")</f>
        <v/>
      </c>
      <c r="I462" s="50" t="n"/>
      <c r="J462" s="50" t="n"/>
      <c r="K462" s="54" t="n"/>
      <c r="L462" s="55" t="n"/>
      <c r="M462" s="56" t="n"/>
      <c r="N462" s="57">
        <f>IF(COUNTBLANK(A462:L462)=12,"",1)</f>
        <v/>
      </c>
      <c r="O462" s="40" t="n"/>
    </row>
    <row r="463" ht="15" customHeight="1" s="34">
      <c r="A463" s="48" t="n"/>
      <c r="B463" s="41">
        <f>IF(A463="","",TEXT(A463,"mmm"))</f>
        <v/>
      </c>
      <c r="C463" s="41" t="n"/>
      <c r="D463" s="42" t="n"/>
      <c r="E463" s="41" t="n"/>
      <c r="F463" s="41">
        <f>IFERROR(INDEX(销售员主数据!$B$2:$B$101,MATCH($E463,销售员主数据!$A$2:$A$101,0)),"")</f>
        <v/>
      </c>
      <c r="G463" s="41">
        <f>IFERROR(INDEX(销售员主数据!$C$2:$C$101,MATCH($E463,销售员主数据!$A$2:$A$101,0)),"")</f>
        <v/>
      </c>
      <c r="H463" s="41">
        <f>IFERROR(INDEX(销售员主数据!$D$2:$D$101,MATCH($E463,销售员主数据!$A$2:$A$101,0)),"")</f>
        <v/>
      </c>
      <c r="I463" s="43" t="n"/>
      <c r="J463" s="43" t="n"/>
      <c r="K463" s="44" t="n"/>
      <c r="L463" s="58" t="n"/>
      <c r="M463" s="59" t="n"/>
      <c r="N463" s="60">
        <f>IF(COUNTBLANK(A463:L463)=12,"",1)</f>
        <v/>
      </c>
      <c r="O463" s="42" t="n"/>
    </row>
    <row r="464" ht="15" customHeight="1" s="34">
      <c r="A464" s="46" t="n"/>
      <c r="B464" s="39">
        <f>IF(A464="","",TEXT(A464,"mmm"))</f>
        <v/>
      </c>
      <c r="C464" s="39" t="n"/>
      <c r="D464" s="40" t="n"/>
      <c r="E464" s="39" t="n"/>
      <c r="F464" s="39">
        <f>IFERROR(INDEX(销售员主数据!$B$2:$B$101,MATCH($E464,销售员主数据!$A$2:$A$101,0)),"")</f>
        <v/>
      </c>
      <c r="G464" s="39">
        <f>IFERROR(INDEX(销售员主数据!$C$2:$C$101,MATCH($E464,销售员主数据!$A$2:$A$101,0)),"")</f>
        <v/>
      </c>
      <c r="H464" s="39">
        <f>IFERROR(INDEX(销售员主数据!$D$2:$D$101,MATCH($E464,销售员主数据!$A$2:$A$101,0)),"")</f>
        <v/>
      </c>
      <c r="I464" s="50" t="n"/>
      <c r="J464" s="50" t="n"/>
      <c r="K464" s="54" t="n"/>
      <c r="L464" s="55" t="n"/>
      <c r="M464" s="56" t="n"/>
      <c r="N464" s="57">
        <f>IF(COUNTBLANK(A464:L464)=12,"",1)</f>
        <v/>
      </c>
      <c r="O464" s="40" t="n"/>
    </row>
    <row r="465" ht="15" customHeight="1" s="34">
      <c r="A465" s="48" t="n"/>
      <c r="B465" s="41">
        <f>IF(A465="","",TEXT(A465,"mmm"))</f>
        <v/>
      </c>
      <c r="C465" s="41" t="n"/>
      <c r="D465" s="42" t="n"/>
      <c r="E465" s="41" t="n"/>
      <c r="F465" s="41">
        <f>IFERROR(INDEX(销售员主数据!$B$2:$B$101,MATCH($E465,销售员主数据!$A$2:$A$101,0)),"")</f>
        <v/>
      </c>
      <c r="G465" s="41">
        <f>IFERROR(INDEX(销售员主数据!$C$2:$C$101,MATCH($E465,销售员主数据!$A$2:$A$101,0)),"")</f>
        <v/>
      </c>
      <c r="H465" s="41">
        <f>IFERROR(INDEX(销售员主数据!$D$2:$D$101,MATCH($E465,销售员主数据!$A$2:$A$101,0)),"")</f>
        <v/>
      </c>
      <c r="I465" s="43" t="n"/>
      <c r="J465" s="43" t="n"/>
      <c r="K465" s="44" t="n"/>
      <c r="L465" s="58" t="n"/>
      <c r="M465" s="59" t="n"/>
      <c r="N465" s="60">
        <f>IF(COUNTBLANK(A465:L465)=12,"",1)</f>
        <v/>
      </c>
      <c r="O465" s="42" t="n"/>
    </row>
    <row r="466" ht="15" customHeight="1" s="34">
      <c r="A466" s="46" t="n"/>
      <c r="B466" s="39">
        <f>IF(A466="","",TEXT(A466,"mmm"))</f>
        <v/>
      </c>
      <c r="C466" s="39" t="n"/>
      <c r="D466" s="40" t="n"/>
      <c r="E466" s="39" t="n"/>
      <c r="F466" s="39">
        <f>IFERROR(INDEX(销售员主数据!$B$2:$B$101,MATCH($E466,销售员主数据!$A$2:$A$101,0)),"")</f>
        <v/>
      </c>
      <c r="G466" s="39">
        <f>IFERROR(INDEX(销售员主数据!$C$2:$C$101,MATCH($E466,销售员主数据!$A$2:$A$101,0)),"")</f>
        <v/>
      </c>
      <c r="H466" s="39">
        <f>IFERROR(INDEX(销售员主数据!$D$2:$D$101,MATCH($E466,销售员主数据!$A$2:$A$101,0)),"")</f>
        <v/>
      </c>
      <c r="I466" s="50" t="n"/>
      <c r="J466" s="50" t="n"/>
      <c r="K466" s="54" t="n"/>
      <c r="L466" s="55" t="n"/>
      <c r="M466" s="56" t="n"/>
      <c r="N466" s="57">
        <f>IF(COUNTBLANK(A466:L466)=12,"",1)</f>
        <v/>
      </c>
      <c r="O466" s="40" t="n"/>
    </row>
    <row r="467" ht="15" customHeight="1" s="34">
      <c r="A467" s="48" t="n"/>
      <c r="B467" s="41">
        <f>IF(A467="","",TEXT(A467,"mmm"))</f>
        <v/>
      </c>
      <c r="C467" s="41" t="n"/>
      <c r="D467" s="42" t="n"/>
      <c r="E467" s="41" t="n"/>
      <c r="F467" s="41">
        <f>IFERROR(INDEX(销售员主数据!$B$2:$B$101,MATCH($E467,销售员主数据!$A$2:$A$101,0)),"")</f>
        <v/>
      </c>
      <c r="G467" s="41">
        <f>IFERROR(INDEX(销售员主数据!$C$2:$C$101,MATCH($E467,销售员主数据!$A$2:$A$101,0)),"")</f>
        <v/>
      </c>
      <c r="H467" s="41">
        <f>IFERROR(INDEX(销售员主数据!$D$2:$D$101,MATCH($E467,销售员主数据!$A$2:$A$101,0)),"")</f>
        <v/>
      </c>
      <c r="I467" s="43" t="n"/>
      <c r="J467" s="43" t="n"/>
      <c r="K467" s="44" t="n"/>
      <c r="L467" s="58" t="n"/>
      <c r="M467" s="59" t="n"/>
      <c r="N467" s="60">
        <f>IF(COUNTBLANK(A467:L467)=12,"",1)</f>
        <v/>
      </c>
      <c r="O467" s="42" t="n"/>
    </row>
    <row r="468" ht="15" customHeight="1" s="34">
      <c r="A468" s="46" t="n"/>
      <c r="B468" s="39">
        <f>IF(A468="","",TEXT(A468,"mmm"))</f>
        <v/>
      </c>
      <c r="C468" s="39" t="n"/>
      <c r="D468" s="40" t="n"/>
      <c r="E468" s="39" t="n"/>
      <c r="F468" s="39">
        <f>IFERROR(INDEX(销售员主数据!$B$2:$B$101,MATCH($E468,销售员主数据!$A$2:$A$101,0)),"")</f>
        <v/>
      </c>
      <c r="G468" s="39">
        <f>IFERROR(INDEX(销售员主数据!$C$2:$C$101,MATCH($E468,销售员主数据!$A$2:$A$101,0)),"")</f>
        <v/>
      </c>
      <c r="H468" s="39">
        <f>IFERROR(INDEX(销售员主数据!$D$2:$D$101,MATCH($E468,销售员主数据!$A$2:$A$101,0)),"")</f>
        <v/>
      </c>
      <c r="I468" s="50" t="n"/>
      <c r="J468" s="50" t="n"/>
      <c r="K468" s="54" t="n"/>
      <c r="L468" s="55" t="n"/>
      <c r="M468" s="56" t="n"/>
      <c r="N468" s="57">
        <f>IF(COUNTBLANK(A468:L468)=12,"",1)</f>
        <v/>
      </c>
      <c r="O468" s="40" t="n"/>
    </row>
    <row r="469" ht="15" customHeight="1" s="34">
      <c r="A469" s="48" t="n"/>
      <c r="B469" s="41">
        <f>IF(A469="","",TEXT(A469,"mmm"))</f>
        <v/>
      </c>
      <c r="C469" s="41" t="n"/>
      <c r="D469" s="42" t="n"/>
      <c r="E469" s="41" t="n"/>
      <c r="F469" s="41">
        <f>IFERROR(INDEX(销售员主数据!$B$2:$B$101,MATCH($E469,销售员主数据!$A$2:$A$101,0)),"")</f>
        <v/>
      </c>
      <c r="G469" s="41">
        <f>IFERROR(INDEX(销售员主数据!$C$2:$C$101,MATCH($E469,销售员主数据!$A$2:$A$101,0)),"")</f>
        <v/>
      </c>
      <c r="H469" s="41">
        <f>IFERROR(INDEX(销售员主数据!$D$2:$D$101,MATCH($E469,销售员主数据!$A$2:$A$101,0)),"")</f>
        <v/>
      </c>
      <c r="I469" s="43" t="n"/>
      <c r="J469" s="43" t="n"/>
      <c r="K469" s="44" t="n"/>
      <c r="L469" s="58" t="n"/>
      <c r="M469" s="59" t="n"/>
      <c r="N469" s="60">
        <f>IF(COUNTBLANK(A469:L469)=12,"",1)</f>
        <v/>
      </c>
      <c r="O469" s="42" t="n"/>
    </row>
    <row r="470" ht="15" customHeight="1" s="34">
      <c r="A470" s="46" t="n"/>
      <c r="B470" s="39">
        <f>IF(A470="","",TEXT(A470,"mmm"))</f>
        <v/>
      </c>
      <c r="C470" s="39" t="n"/>
      <c r="D470" s="40" t="n"/>
      <c r="E470" s="39" t="n"/>
      <c r="F470" s="39">
        <f>IFERROR(INDEX(销售员主数据!$B$2:$B$101,MATCH($E470,销售员主数据!$A$2:$A$101,0)),"")</f>
        <v/>
      </c>
      <c r="G470" s="39">
        <f>IFERROR(INDEX(销售员主数据!$C$2:$C$101,MATCH($E470,销售员主数据!$A$2:$A$101,0)),"")</f>
        <v/>
      </c>
      <c r="H470" s="39">
        <f>IFERROR(INDEX(销售员主数据!$D$2:$D$101,MATCH($E470,销售员主数据!$A$2:$A$101,0)),"")</f>
        <v/>
      </c>
      <c r="I470" s="50" t="n"/>
      <c r="J470" s="50" t="n"/>
      <c r="K470" s="54" t="n"/>
      <c r="L470" s="55" t="n"/>
      <c r="M470" s="56" t="n"/>
      <c r="N470" s="57">
        <f>IF(COUNTBLANK(A470:L470)=12,"",1)</f>
        <v/>
      </c>
      <c r="O470" s="40" t="n"/>
    </row>
    <row r="471" ht="15" customHeight="1" s="34">
      <c r="A471" s="48" t="n"/>
      <c r="B471" s="41">
        <f>IF(A471="","",TEXT(A471,"mmm"))</f>
        <v/>
      </c>
      <c r="C471" s="41" t="n"/>
      <c r="D471" s="42" t="n"/>
      <c r="E471" s="41" t="n"/>
      <c r="F471" s="41">
        <f>IFERROR(INDEX(销售员主数据!$B$2:$B$101,MATCH($E471,销售员主数据!$A$2:$A$101,0)),"")</f>
        <v/>
      </c>
      <c r="G471" s="41">
        <f>IFERROR(INDEX(销售员主数据!$C$2:$C$101,MATCH($E471,销售员主数据!$A$2:$A$101,0)),"")</f>
        <v/>
      </c>
      <c r="H471" s="41">
        <f>IFERROR(INDEX(销售员主数据!$D$2:$D$101,MATCH($E471,销售员主数据!$A$2:$A$101,0)),"")</f>
        <v/>
      </c>
      <c r="I471" s="43" t="n"/>
      <c r="J471" s="43" t="n"/>
      <c r="K471" s="44" t="n"/>
      <c r="L471" s="58" t="n"/>
      <c r="M471" s="59" t="n"/>
      <c r="N471" s="60">
        <f>IF(COUNTBLANK(A471:L471)=12,"",1)</f>
        <v/>
      </c>
      <c r="O471" s="42" t="n"/>
    </row>
    <row r="472" ht="15" customHeight="1" s="34">
      <c r="A472" s="46" t="n"/>
      <c r="B472" s="39">
        <f>IF(A472="","",TEXT(A472,"mmm"))</f>
        <v/>
      </c>
      <c r="C472" s="39" t="n"/>
      <c r="D472" s="40" t="n"/>
      <c r="E472" s="39" t="n"/>
      <c r="F472" s="39">
        <f>IFERROR(INDEX(销售员主数据!$B$2:$B$101,MATCH($E472,销售员主数据!$A$2:$A$101,0)),"")</f>
        <v/>
      </c>
      <c r="G472" s="39">
        <f>IFERROR(INDEX(销售员主数据!$C$2:$C$101,MATCH($E472,销售员主数据!$A$2:$A$101,0)),"")</f>
        <v/>
      </c>
      <c r="H472" s="39">
        <f>IFERROR(INDEX(销售员主数据!$D$2:$D$101,MATCH($E472,销售员主数据!$A$2:$A$101,0)),"")</f>
        <v/>
      </c>
      <c r="I472" s="50" t="n"/>
      <c r="J472" s="50" t="n"/>
      <c r="K472" s="54" t="n"/>
      <c r="L472" s="55" t="n"/>
      <c r="M472" s="56" t="n"/>
      <c r="N472" s="57">
        <f>IF(COUNTBLANK(A472:L472)=12,"",1)</f>
        <v/>
      </c>
      <c r="O472" s="40" t="n"/>
    </row>
    <row r="473" ht="15" customHeight="1" s="34">
      <c r="A473" s="48" t="n"/>
      <c r="B473" s="41">
        <f>IF(A473="","",TEXT(A473,"mmm"))</f>
        <v/>
      </c>
      <c r="C473" s="41" t="n"/>
      <c r="D473" s="42" t="n"/>
      <c r="E473" s="41" t="n"/>
      <c r="F473" s="41">
        <f>IFERROR(INDEX(销售员主数据!$B$2:$B$101,MATCH($E473,销售员主数据!$A$2:$A$101,0)),"")</f>
        <v/>
      </c>
      <c r="G473" s="41">
        <f>IFERROR(INDEX(销售员主数据!$C$2:$C$101,MATCH($E473,销售员主数据!$A$2:$A$101,0)),"")</f>
        <v/>
      </c>
      <c r="H473" s="41">
        <f>IFERROR(INDEX(销售员主数据!$D$2:$D$101,MATCH($E473,销售员主数据!$A$2:$A$101,0)),"")</f>
        <v/>
      </c>
      <c r="I473" s="43" t="n"/>
      <c r="J473" s="43" t="n"/>
      <c r="K473" s="44" t="n"/>
      <c r="L473" s="58" t="n"/>
      <c r="M473" s="59" t="n"/>
      <c r="N473" s="60">
        <f>IF(COUNTBLANK(A473:L473)=12,"",1)</f>
        <v/>
      </c>
      <c r="O473" s="42" t="n"/>
    </row>
    <row r="474" ht="15" customHeight="1" s="34">
      <c r="A474" s="46" t="n"/>
      <c r="B474" s="39">
        <f>IF(A474="","",TEXT(A474,"mmm"))</f>
        <v/>
      </c>
      <c r="C474" s="39" t="n"/>
      <c r="D474" s="40" t="n"/>
      <c r="E474" s="39" t="n"/>
      <c r="F474" s="39">
        <f>IFERROR(INDEX(销售员主数据!$B$2:$B$101,MATCH($E474,销售员主数据!$A$2:$A$101,0)),"")</f>
        <v/>
      </c>
      <c r="G474" s="39">
        <f>IFERROR(INDEX(销售员主数据!$C$2:$C$101,MATCH($E474,销售员主数据!$A$2:$A$101,0)),"")</f>
        <v/>
      </c>
      <c r="H474" s="39">
        <f>IFERROR(INDEX(销售员主数据!$D$2:$D$101,MATCH($E474,销售员主数据!$A$2:$A$101,0)),"")</f>
        <v/>
      </c>
      <c r="I474" s="50" t="n"/>
      <c r="J474" s="50" t="n"/>
      <c r="K474" s="54" t="n"/>
      <c r="L474" s="55" t="n"/>
      <c r="M474" s="56" t="n"/>
      <c r="N474" s="57">
        <f>IF(COUNTBLANK(A474:L474)=12,"",1)</f>
        <v/>
      </c>
      <c r="O474" s="40" t="n"/>
    </row>
    <row r="475" ht="15" customHeight="1" s="34">
      <c r="A475" s="48" t="n"/>
      <c r="B475" s="41">
        <f>IF(A475="","",TEXT(A475,"mmm"))</f>
        <v/>
      </c>
      <c r="C475" s="41" t="n"/>
      <c r="D475" s="42" t="n"/>
      <c r="E475" s="41" t="n"/>
      <c r="F475" s="41">
        <f>IFERROR(INDEX(销售员主数据!$B$2:$B$101,MATCH($E475,销售员主数据!$A$2:$A$101,0)),"")</f>
        <v/>
      </c>
      <c r="G475" s="41">
        <f>IFERROR(INDEX(销售员主数据!$C$2:$C$101,MATCH($E475,销售员主数据!$A$2:$A$101,0)),"")</f>
        <v/>
      </c>
      <c r="H475" s="41">
        <f>IFERROR(INDEX(销售员主数据!$D$2:$D$101,MATCH($E475,销售员主数据!$A$2:$A$101,0)),"")</f>
        <v/>
      </c>
      <c r="I475" s="43" t="n"/>
      <c r="J475" s="43" t="n"/>
      <c r="K475" s="44" t="n"/>
      <c r="L475" s="58" t="n"/>
      <c r="M475" s="59" t="n"/>
      <c r="N475" s="60">
        <f>IF(COUNTBLANK(A475:L475)=12,"",1)</f>
        <v/>
      </c>
      <c r="O475" s="42" t="n"/>
    </row>
    <row r="476" ht="15" customHeight="1" s="34">
      <c r="A476" s="46" t="n"/>
      <c r="B476" s="39">
        <f>IF(A476="","",TEXT(A476,"mmm"))</f>
        <v/>
      </c>
      <c r="C476" s="39" t="n"/>
      <c r="D476" s="40" t="n"/>
      <c r="E476" s="39" t="n"/>
      <c r="F476" s="39">
        <f>IFERROR(INDEX(销售员主数据!$B$2:$B$101,MATCH($E476,销售员主数据!$A$2:$A$101,0)),"")</f>
        <v/>
      </c>
      <c r="G476" s="39">
        <f>IFERROR(INDEX(销售员主数据!$C$2:$C$101,MATCH($E476,销售员主数据!$A$2:$A$101,0)),"")</f>
        <v/>
      </c>
      <c r="H476" s="39">
        <f>IFERROR(INDEX(销售员主数据!$D$2:$D$101,MATCH($E476,销售员主数据!$A$2:$A$101,0)),"")</f>
        <v/>
      </c>
      <c r="I476" s="50" t="n"/>
      <c r="J476" s="50" t="n"/>
      <c r="K476" s="54" t="n"/>
      <c r="L476" s="55" t="n"/>
      <c r="M476" s="56" t="n"/>
      <c r="N476" s="57">
        <f>IF(COUNTBLANK(A476:L476)=12,"",1)</f>
        <v/>
      </c>
      <c r="O476" s="40" t="n"/>
    </row>
    <row r="477" ht="15" customHeight="1" s="34">
      <c r="A477" s="48" t="n"/>
      <c r="B477" s="41">
        <f>IF(A477="","",TEXT(A477,"mmm"))</f>
        <v/>
      </c>
      <c r="C477" s="41" t="n"/>
      <c r="D477" s="42" t="n"/>
      <c r="E477" s="41" t="n"/>
      <c r="F477" s="41">
        <f>IFERROR(INDEX(销售员主数据!$B$2:$B$101,MATCH($E477,销售员主数据!$A$2:$A$101,0)),"")</f>
        <v/>
      </c>
      <c r="G477" s="41">
        <f>IFERROR(INDEX(销售员主数据!$C$2:$C$101,MATCH($E477,销售员主数据!$A$2:$A$101,0)),"")</f>
        <v/>
      </c>
      <c r="H477" s="41">
        <f>IFERROR(INDEX(销售员主数据!$D$2:$D$101,MATCH($E477,销售员主数据!$A$2:$A$101,0)),"")</f>
        <v/>
      </c>
      <c r="I477" s="43" t="n"/>
      <c r="J477" s="43" t="n"/>
      <c r="K477" s="44" t="n"/>
      <c r="L477" s="58" t="n"/>
      <c r="M477" s="59" t="n"/>
      <c r="N477" s="60">
        <f>IF(COUNTBLANK(A477:L477)=12,"",1)</f>
        <v/>
      </c>
      <c r="O477" s="42" t="n"/>
    </row>
    <row r="478" ht="15" customHeight="1" s="34">
      <c r="A478" s="46" t="n"/>
      <c r="B478" s="39">
        <f>IF(A478="","",TEXT(A478,"mmm"))</f>
        <v/>
      </c>
      <c r="C478" s="39" t="n"/>
      <c r="D478" s="40" t="n"/>
      <c r="E478" s="39" t="n"/>
      <c r="F478" s="39">
        <f>IFERROR(INDEX(销售员主数据!$B$2:$B$101,MATCH($E478,销售员主数据!$A$2:$A$101,0)),"")</f>
        <v/>
      </c>
      <c r="G478" s="39">
        <f>IFERROR(INDEX(销售员主数据!$C$2:$C$101,MATCH($E478,销售员主数据!$A$2:$A$101,0)),"")</f>
        <v/>
      </c>
      <c r="H478" s="39">
        <f>IFERROR(INDEX(销售员主数据!$D$2:$D$101,MATCH($E478,销售员主数据!$A$2:$A$101,0)),"")</f>
        <v/>
      </c>
      <c r="I478" s="50" t="n"/>
      <c r="J478" s="50" t="n"/>
      <c r="K478" s="54" t="n"/>
      <c r="L478" s="55" t="n"/>
      <c r="M478" s="56" t="n"/>
      <c r="N478" s="57">
        <f>IF(COUNTBLANK(A478:L478)=12,"",1)</f>
        <v/>
      </c>
      <c r="O478" s="40" t="n"/>
    </row>
    <row r="479" ht="15" customHeight="1" s="34">
      <c r="A479" s="48" t="n"/>
      <c r="B479" s="41">
        <f>IF(A479="","",TEXT(A479,"mmm"))</f>
        <v/>
      </c>
      <c r="C479" s="41" t="n"/>
      <c r="D479" s="42" t="n"/>
      <c r="E479" s="41" t="n"/>
      <c r="F479" s="41">
        <f>IFERROR(INDEX(销售员主数据!$B$2:$B$101,MATCH($E479,销售员主数据!$A$2:$A$101,0)),"")</f>
        <v/>
      </c>
      <c r="G479" s="41">
        <f>IFERROR(INDEX(销售员主数据!$C$2:$C$101,MATCH($E479,销售员主数据!$A$2:$A$101,0)),"")</f>
        <v/>
      </c>
      <c r="H479" s="41">
        <f>IFERROR(INDEX(销售员主数据!$D$2:$D$101,MATCH($E479,销售员主数据!$A$2:$A$101,0)),"")</f>
        <v/>
      </c>
      <c r="I479" s="43" t="n"/>
      <c r="J479" s="43" t="n"/>
      <c r="K479" s="44" t="n"/>
      <c r="L479" s="58" t="n"/>
      <c r="M479" s="59" t="n"/>
      <c r="N479" s="60">
        <f>IF(COUNTBLANK(A479:L479)=12,"",1)</f>
        <v/>
      </c>
      <c r="O479" s="42" t="n"/>
    </row>
    <row r="480" ht="15" customHeight="1" s="34">
      <c r="A480" s="46" t="n"/>
      <c r="B480" s="39">
        <f>IF(A480="","",TEXT(A480,"mmm"))</f>
        <v/>
      </c>
      <c r="C480" s="39" t="n"/>
      <c r="D480" s="40" t="n"/>
      <c r="E480" s="39" t="n"/>
      <c r="F480" s="39">
        <f>IFERROR(INDEX(销售员主数据!$B$2:$B$101,MATCH($E480,销售员主数据!$A$2:$A$101,0)),"")</f>
        <v/>
      </c>
      <c r="G480" s="39">
        <f>IFERROR(INDEX(销售员主数据!$C$2:$C$101,MATCH($E480,销售员主数据!$A$2:$A$101,0)),"")</f>
        <v/>
      </c>
      <c r="H480" s="39">
        <f>IFERROR(INDEX(销售员主数据!$D$2:$D$101,MATCH($E480,销售员主数据!$A$2:$A$101,0)),"")</f>
        <v/>
      </c>
      <c r="I480" s="50" t="n"/>
      <c r="J480" s="50" t="n"/>
      <c r="K480" s="54" t="n"/>
      <c r="L480" s="55" t="n"/>
      <c r="M480" s="56" t="n"/>
      <c r="N480" s="57">
        <f>IF(COUNTBLANK(A480:L480)=12,"",1)</f>
        <v/>
      </c>
      <c r="O480" s="40" t="n"/>
    </row>
    <row r="481" ht="15" customHeight="1" s="34">
      <c r="A481" s="48" t="n"/>
      <c r="B481" s="41">
        <f>IF(A481="","",TEXT(A481,"mmm"))</f>
        <v/>
      </c>
      <c r="C481" s="41" t="n"/>
      <c r="D481" s="42" t="n"/>
      <c r="E481" s="41" t="n"/>
      <c r="F481" s="41">
        <f>IFERROR(INDEX(销售员主数据!$B$2:$B$101,MATCH($E481,销售员主数据!$A$2:$A$101,0)),"")</f>
        <v/>
      </c>
      <c r="G481" s="41">
        <f>IFERROR(INDEX(销售员主数据!$C$2:$C$101,MATCH($E481,销售员主数据!$A$2:$A$101,0)),"")</f>
        <v/>
      </c>
      <c r="H481" s="41">
        <f>IFERROR(INDEX(销售员主数据!$D$2:$D$101,MATCH($E481,销售员主数据!$A$2:$A$101,0)),"")</f>
        <v/>
      </c>
      <c r="I481" s="43" t="n"/>
      <c r="J481" s="43" t="n"/>
      <c r="K481" s="44" t="n"/>
      <c r="L481" s="58" t="n"/>
      <c r="M481" s="59" t="n"/>
      <c r="N481" s="60">
        <f>IF(COUNTBLANK(A481:L481)=12,"",1)</f>
        <v/>
      </c>
      <c r="O481" s="42" t="n"/>
    </row>
    <row r="482" ht="15" customHeight="1" s="34">
      <c r="A482" s="46" t="n"/>
      <c r="B482" s="39">
        <f>IF(A482="","",TEXT(A482,"mmm"))</f>
        <v/>
      </c>
      <c r="C482" s="39" t="n"/>
      <c r="D482" s="40" t="n"/>
      <c r="E482" s="39" t="n"/>
      <c r="F482" s="39">
        <f>IFERROR(INDEX(销售员主数据!$B$2:$B$101,MATCH($E482,销售员主数据!$A$2:$A$101,0)),"")</f>
        <v/>
      </c>
      <c r="G482" s="39">
        <f>IFERROR(INDEX(销售员主数据!$C$2:$C$101,MATCH($E482,销售员主数据!$A$2:$A$101,0)),"")</f>
        <v/>
      </c>
      <c r="H482" s="39">
        <f>IFERROR(INDEX(销售员主数据!$D$2:$D$101,MATCH($E482,销售员主数据!$A$2:$A$101,0)),"")</f>
        <v/>
      </c>
      <c r="I482" s="50" t="n"/>
      <c r="J482" s="50" t="n"/>
      <c r="K482" s="54" t="n"/>
      <c r="L482" s="55" t="n"/>
      <c r="M482" s="56" t="n"/>
      <c r="N482" s="57">
        <f>IF(COUNTBLANK(A482:L482)=12,"",1)</f>
        <v/>
      </c>
      <c r="O482" s="40" t="n"/>
    </row>
    <row r="483" ht="15" customHeight="1" s="34">
      <c r="A483" s="48" t="n"/>
      <c r="B483" s="41">
        <f>IF(A483="","",TEXT(A483,"mmm"))</f>
        <v/>
      </c>
      <c r="C483" s="41" t="n"/>
      <c r="D483" s="42" t="n"/>
      <c r="E483" s="41" t="n"/>
      <c r="F483" s="41">
        <f>IFERROR(INDEX(销售员主数据!$B$2:$B$101,MATCH($E483,销售员主数据!$A$2:$A$101,0)),"")</f>
        <v/>
      </c>
      <c r="G483" s="41">
        <f>IFERROR(INDEX(销售员主数据!$C$2:$C$101,MATCH($E483,销售员主数据!$A$2:$A$101,0)),"")</f>
        <v/>
      </c>
      <c r="H483" s="41">
        <f>IFERROR(INDEX(销售员主数据!$D$2:$D$101,MATCH($E483,销售员主数据!$A$2:$A$101,0)),"")</f>
        <v/>
      </c>
      <c r="I483" s="43" t="n"/>
      <c r="J483" s="43" t="n"/>
      <c r="K483" s="44" t="n"/>
      <c r="L483" s="58" t="n"/>
      <c r="M483" s="59" t="n"/>
      <c r="N483" s="60">
        <f>IF(COUNTBLANK(A483:L483)=12,"",1)</f>
        <v/>
      </c>
      <c r="O483" s="42" t="n"/>
    </row>
    <row r="484" ht="15" customHeight="1" s="34">
      <c r="A484" s="46" t="n"/>
      <c r="B484" s="39">
        <f>IF(A484="","",TEXT(A484,"mmm"))</f>
        <v/>
      </c>
      <c r="C484" s="39" t="n"/>
      <c r="D484" s="40" t="n"/>
      <c r="E484" s="39" t="n"/>
      <c r="F484" s="39">
        <f>IFERROR(INDEX(销售员主数据!$B$2:$B$101,MATCH($E484,销售员主数据!$A$2:$A$101,0)),"")</f>
        <v/>
      </c>
      <c r="G484" s="39">
        <f>IFERROR(INDEX(销售员主数据!$C$2:$C$101,MATCH($E484,销售员主数据!$A$2:$A$101,0)),"")</f>
        <v/>
      </c>
      <c r="H484" s="39">
        <f>IFERROR(INDEX(销售员主数据!$D$2:$D$101,MATCH($E484,销售员主数据!$A$2:$A$101,0)),"")</f>
        <v/>
      </c>
      <c r="I484" s="50" t="n"/>
      <c r="J484" s="50" t="n"/>
      <c r="K484" s="54" t="n"/>
      <c r="L484" s="55" t="n"/>
      <c r="M484" s="56" t="n"/>
      <c r="N484" s="57">
        <f>IF(COUNTBLANK(A484:L484)=12,"",1)</f>
        <v/>
      </c>
      <c r="O484" s="40" t="n"/>
    </row>
    <row r="485" ht="15" customHeight="1" s="34">
      <c r="A485" s="48" t="n"/>
      <c r="B485" s="41">
        <f>IF(A485="","",TEXT(A485,"mmm"))</f>
        <v/>
      </c>
      <c r="C485" s="41" t="n"/>
      <c r="D485" s="42" t="n"/>
      <c r="E485" s="41" t="n"/>
      <c r="F485" s="41">
        <f>IFERROR(INDEX(销售员主数据!$B$2:$B$101,MATCH($E485,销售员主数据!$A$2:$A$101,0)),"")</f>
        <v/>
      </c>
      <c r="G485" s="41">
        <f>IFERROR(INDEX(销售员主数据!$C$2:$C$101,MATCH($E485,销售员主数据!$A$2:$A$101,0)),"")</f>
        <v/>
      </c>
      <c r="H485" s="41">
        <f>IFERROR(INDEX(销售员主数据!$D$2:$D$101,MATCH($E485,销售员主数据!$A$2:$A$101,0)),"")</f>
        <v/>
      </c>
      <c r="I485" s="43" t="n"/>
      <c r="J485" s="43" t="n"/>
      <c r="K485" s="44" t="n"/>
      <c r="L485" s="58" t="n"/>
      <c r="M485" s="59" t="n"/>
      <c r="N485" s="60">
        <f>IF(COUNTBLANK(A485:L485)=12,"",1)</f>
        <v/>
      </c>
      <c r="O485" s="42" t="n"/>
    </row>
    <row r="486" ht="15" customHeight="1" s="34">
      <c r="A486" s="46" t="n"/>
      <c r="B486" s="39">
        <f>IF(A486="","",TEXT(A486,"mmm"))</f>
        <v/>
      </c>
      <c r="C486" s="39" t="n"/>
      <c r="D486" s="40" t="n"/>
      <c r="E486" s="39" t="n"/>
      <c r="F486" s="39">
        <f>IFERROR(INDEX(销售员主数据!$B$2:$B$101,MATCH($E486,销售员主数据!$A$2:$A$101,0)),"")</f>
        <v/>
      </c>
      <c r="G486" s="39">
        <f>IFERROR(INDEX(销售员主数据!$C$2:$C$101,MATCH($E486,销售员主数据!$A$2:$A$101,0)),"")</f>
        <v/>
      </c>
      <c r="H486" s="39">
        <f>IFERROR(INDEX(销售员主数据!$D$2:$D$101,MATCH($E486,销售员主数据!$A$2:$A$101,0)),"")</f>
        <v/>
      </c>
      <c r="I486" s="50" t="n"/>
      <c r="J486" s="50" t="n"/>
      <c r="K486" s="54" t="n"/>
      <c r="L486" s="55" t="n"/>
      <c r="M486" s="56" t="n"/>
      <c r="N486" s="57">
        <f>IF(COUNTBLANK(A486:L486)=12,"",1)</f>
        <v/>
      </c>
      <c r="O486" s="40" t="n"/>
    </row>
    <row r="487" ht="15" customHeight="1" s="34">
      <c r="A487" s="48" t="n"/>
      <c r="B487" s="41">
        <f>IF(A487="","",TEXT(A487,"mmm"))</f>
        <v/>
      </c>
      <c r="C487" s="41" t="n"/>
      <c r="D487" s="42" t="n"/>
      <c r="E487" s="41" t="n"/>
      <c r="F487" s="41">
        <f>IFERROR(INDEX(销售员主数据!$B$2:$B$101,MATCH($E487,销售员主数据!$A$2:$A$101,0)),"")</f>
        <v/>
      </c>
      <c r="G487" s="41">
        <f>IFERROR(INDEX(销售员主数据!$C$2:$C$101,MATCH($E487,销售员主数据!$A$2:$A$101,0)),"")</f>
        <v/>
      </c>
      <c r="H487" s="41">
        <f>IFERROR(INDEX(销售员主数据!$D$2:$D$101,MATCH($E487,销售员主数据!$A$2:$A$101,0)),"")</f>
        <v/>
      </c>
      <c r="I487" s="43" t="n"/>
      <c r="J487" s="43" t="n"/>
      <c r="K487" s="44" t="n"/>
      <c r="L487" s="58" t="n"/>
      <c r="M487" s="59" t="n"/>
      <c r="N487" s="60">
        <f>IF(COUNTBLANK(A487:L487)=12,"",1)</f>
        <v/>
      </c>
      <c r="O487" s="42" t="n"/>
    </row>
    <row r="488" ht="15" customHeight="1" s="34">
      <c r="A488" s="46" t="n"/>
      <c r="B488" s="39">
        <f>IF(A488="","",TEXT(A488,"mmm"))</f>
        <v/>
      </c>
      <c r="C488" s="39" t="n"/>
      <c r="D488" s="40" t="n"/>
      <c r="E488" s="39" t="n"/>
      <c r="F488" s="39">
        <f>IFERROR(INDEX(销售员主数据!$B$2:$B$101,MATCH($E488,销售员主数据!$A$2:$A$101,0)),"")</f>
        <v/>
      </c>
      <c r="G488" s="39">
        <f>IFERROR(INDEX(销售员主数据!$C$2:$C$101,MATCH($E488,销售员主数据!$A$2:$A$101,0)),"")</f>
        <v/>
      </c>
      <c r="H488" s="39">
        <f>IFERROR(INDEX(销售员主数据!$D$2:$D$101,MATCH($E488,销售员主数据!$A$2:$A$101,0)),"")</f>
        <v/>
      </c>
      <c r="I488" s="50" t="n"/>
      <c r="J488" s="50" t="n"/>
      <c r="K488" s="54" t="n"/>
      <c r="L488" s="55" t="n"/>
      <c r="M488" s="56" t="n"/>
      <c r="N488" s="57">
        <f>IF(COUNTBLANK(A488:L488)=12,"",1)</f>
        <v/>
      </c>
      <c r="O488" s="40" t="n"/>
    </row>
    <row r="489" ht="15" customHeight="1" s="34">
      <c r="A489" s="48" t="n"/>
      <c r="B489" s="41">
        <f>IF(A489="","",TEXT(A489,"mmm"))</f>
        <v/>
      </c>
      <c r="C489" s="41" t="n"/>
      <c r="D489" s="42" t="n"/>
      <c r="E489" s="41" t="n"/>
      <c r="F489" s="41">
        <f>IFERROR(INDEX(销售员主数据!$B$2:$B$101,MATCH($E489,销售员主数据!$A$2:$A$101,0)),"")</f>
        <v/>
      </c>
      <c r="G489" s="41">
        <f>IFERROR(INDEX(销售员主数据!$C$2:$C$101,MATCH($E489,销售员主数据!$A$2:$A$101,0)),"")</f>
        <v/>
      </c>
      <c r="H489" s="41">
        <f>IFERROR(INDEX(销售员主数据!$D$2:$D$101,MATCH($E489,销售员主数据!$A$2:$A$101,0)),"")</f>
        <v/>
      </c>
      <c r="I489" s="43" t="n"/>
      <c r="J489" s="43" t="n"/>
      <c r="K489" s="44" t="n"/>
      <c r="L489" s="58" t="n"/>
      <c r="M489" s="59" t="n"/>
      <c r="N489" s="60">
        <f>IF(COUNTBLANK(A489:L489)=12,"",1)</f>
        <v/>
      </c>
      <c r="O489" s="42" t="n"/>
    </row>
    <row r="490" ht="15" customHeight="1" s="34">
      <c r="A490" s="46" t="n"/>
      <c r="B490" s="39">
        <f>IF(A490="","",TEXT(A490,"mmm"))</f>
        <v/>
      </c>
      <c r="C490" s="39" t="n"/>
      <c r="D490" s="40" t="n"/>
      <c r="E490" s="39" t="n"/>
      <c r="F490" s="39">
        <f>IFERROR(INDEX(销售员主数据!$B$2:$B$101,MATCH($E490,销售员主数据!$A$2:$A$101,0)),"")</f>
        <v/>
      </c>
      <c r="G490" s="39">
        <f>IFERROR(INDEX(销售员主数据!$C$2:$C$101,MATCH($E490,销售员主数据!$A$2:$A$101,0)),"")</f>
        <v/>
      </c>
      <c r="H490" s="39">
        <f>IFERROR(INDEX(销售员主数据!$D$2:$D$101,MATCH($E490,销售员主数据!$A$2:$A$101,0)),"")</f>
        <v/>
      </c>
      <c r="I490" s="50" t="n"/>
      <c r="J490" s="50" t="n"/>
      <c r="K490" s="54" t="n"/>
      <c r="L490" s="55" t="n"/>
      <c r="M490" s="56" t="n"/>
      <c r="N490" s="57">
        <f>IF(COUNTBLANK(A490:L490)=12,"",1)</f>
        <v/>
      </c>
      <c r="O490" s="40" t="n"/>
    </row>
    <row r="491" ht="15" customHeight="1" s="34">
      <c r="A491" s="48" t="n"/>
      <c r="B491" s="41">
        <f>IF(A491="","",TEXT(A491,"mmm"))</f>
        <v/>
      </c>
      <c r="C491" s="41" t="n"/>
      <c r="D491" s="42" t="n"/>
      <c r="E491" s="41" t="n"/>
      <c r="F491" s="41">
        <f>IFERROR(INDEX(销售员主数据!$B$2:$B$101,MATCH($E491,销售员主数据!$A$2:$A$101,0)),"")</f>
        <v/>
      </c>
      <c r="G491" s="41">
        <f>IFERROR(INDEX(销售员主数据!$C$2:$C$101,MATCH($E491,销售员主数据!$A$2:$A$101,0)),"")</f>
        <v/>
      </c>
      <c r="H491" s="41">
        <f>IFERROR(INDEX(销售员主数据!$D$2:$D$101,MATCH($E491,销售员主数据!$A$2:$A$101,0)),"")</f>
        <v/>
      </c>
      <c r="I491" s="43" t="n"/>
      <c r="J491" s="43" t="n"/>
      <c r="K491" s="44" t="n"/>
      <c r="L491" s="58" t="n"/>
      <c r="M491" s="59" t="n"/>
      <c r="N491" s="60">
        <f>IF(COUNTBLANK(A491:L491)=12,"",1)</f>
        <v/>
      </c>
      <c r="O491" s="42" t="n"/>
    </row>
    <row r="492" ht="15" customHeight="1" s="34">
      <c r="A492" s="46" t="n"/>
      <c r="B492" s="39">
        <f>IF(A492="","",TEXT(A492,"mmm"))</f>
        <v/>
      </c>
      <c r="C492" s="39" t="n"/>
      <c r="D492" s="40" t="n"/>
      <c r="E492" s="39" t="n"/>
      <c r="F492" s="39">
        <f>IFERROR(INDEX(销售员主数据!$B$2:$B$101,MATCH($E492,销售员主数据!$A$2:$A$101,0)),"")</f>
        <v/>
      </c>
      <c r="G492" s="39">
        <f>IFERROR(INDEX(销售员主数据!$C$2:$C$101,MATCH($E492,销售员主数据!$A$2:$A$101,0)),"")</f>
        <v/>
      </c>
      <c r="H492" s="39">
        <f>IFERROR(INDEX(销售员主数据!$D$2:$D$101,MATCH($E492,销售员主数据!$A$2:$A$101,0)),"")</f>
        <v/>
      </c>
      <c r="I492" s="50" t="n"/>
      <c r="J492" s="50" t="n"/>
      <c r="K492" s="54" t="n"/>
      <c r="L492" s="55" t="n"/>
      <c r="M492" s="56" t="n"/>
      <c r="N492" s="57">
        <f>IF(COUNTBLANK(A492:L492)=12,"",1)</f>
        <v/>
      </c>
      <c r="O492" s="40" t="n"/>
    </row>
    <row r="493" ht="15" customHeight="1" s="34">
      <c r="A493" s="48" t="n"/>
      <c r="B493" s="41">
        <f>IF(A493="","",TEXT(A493,"mmm"))</f>
        <v/>
      </c>
      <c r="C493" s="41" t="n"/>
      <c r="D493" s="42" t="n"/>
      <c r="E493" s="41" t="n"/>
      <c r="F493" s="41">
        <f>IFERROR(INDEX(销售员主数据!$B$2:$B$101,MATCH($E493,销售员主数据!$A$2:$A$101,0)),"")</f>
        <v/>
      </c>
      <c r="G493" s="41">
        <f>IFERROR(INDEX(销售员主数据!$C$2:$C$101,MATCH($E493,销售员主数据!$A$2:$A$101,0)),"")</f>
        <v/>
      </c>
      <c r="H493" s="41">
        <f>IFERROR(INDEX(销售员主数据!$D$2:$D$101,MATCH($E493,销售员主数据!$A$2:$A$101,0)),"")</f>
        <v/>
      </c>
      <c r="I493" s="43" t="n"/>
      <c r="J493" s="43" t="n"/>
      <c r="K493" s="44" t="n"/>
      <c r="L493" s="58" t="n"/>
      <c r="M493" s="59" t="n"/>
      <c r="N493" s="60">
        <f>IF(COUNTBLANK(A493:L493)=12,"",1)</f>
        <v/>
      </c>
      <c r="O493" s="42" t="n"/>
    </row>
    <row r="494" ht="15" customHeight="1" s="34">
      <c r="A494" s="46" t="n"/>
      <c r="B494" s="39">
        <f>IF(A494="","",TEXT(A494,"mmm"))</f>
        <v/>
      </c>
      <c r="C494" s="39" t="n"/>
      <c r="D494" s="40" t="n"/>
      <c r="E494" s="39" t="n"/>
      <c r="F494" s="39">
        <f>IFERROR(INDEX(销售员主数据!$B$2:$B$101,MATCH($E494,销售员主数据!$A$2:$A$101,0)),"")</f>
        <v/>
      </c>
      <c r="G494" s="39">
        <f>IFERROR(INDEX(销售员主数据!$C$2:$C$101,MATCH($E494,销售员主数据!$A$2:$A$101,0)),"")</f>
        <v/>
      </c>
      <c r="H494" s="39">
        <f>IFERROR(INDEX(销售员主数据!$D$2:$D$101,MATCH($E494,销售员主数据!$A$2:$A$101,0)),"")</f>
        <v/>
      </c>
      <c r="I494" s="50" t="n"/>
      <c r="J494" s="50" t="n"/>
      <c r="K494" s="54" t="n"/>
      <c r="L494" s="55" t="n"/>
      <c r="M494" s="56" t="n"/>
      <c r="N494" s="57">
        <f>IF(COUNTBLANK(A494:L494)=12,"",1)</f>
        <v/>
      </c>
      <c r="O494" s="40" t="n"/>
    </row>
    <row r="495" ht="15" customHeight="1" s="34">
      <c r="A495" s="48" t="n"/>
      <c r="B495" s="41">
        <f>IF(A495="","",TEXT(A495,"mmm"))</f>
        <v/>
      </c>
      <c r="C495" s="41" t="n"/>
      <c r="D495" s="42" t="n"/>
      <c r="E495" s="41" t="n"/>
      <c r="F495" s="41">
        <f>IFERROR(INDEX(销售员主数据!$B$2:$B$101,MATCH($E495,销售员主数据!$A$2:$A$101,0)),"")</f>
        <v/>
      </c>
      <c r="G495" s="41">
        <f>IFERROR(INDEX(销售员主数据!$C$2:$C$101,MATCH($E495,销售员主数据!$A$2:$A$101,0)),"")</f>
        <v/>
      </c>
      <c r="H495" s="41">
        <f>IFERROR(INDEX(销售员主数据!$D$2:$D$101,MATCH($E495,销售员主数据!$A$2:$A$101,0)),"")</f>
        <v/>
      </c>
      <c r="I495" s="43" t="n"/>
      <c r="J495" s="43" t="n"/>
      <c r="K495" s="44" t="n"/>
      <c r="L495" s="58" t="n"/>
      <c r="M495" s="59" t="n"/>
      <c r="N495" s="60">
        <f>IF(COUNTBLANK(A495:L495)=12,"",1)</f>
        <v/>
      </c>
      <c r="O495" s="42" t="n"/>
    </row>
    <row r="496" ht="15" customHeight="1" s="34">
      <c r="A496" s="46" t="n"/>
      <c r="B496" s="39">
        <f>IF(A496="","",TEXT(A496,"mmm"))</f>
        <v/>
      </c>
      <c r="C496" s="39" t="n"/>
      <c r="D496" s="40" t="n"/>
      <c r="E496" s="39" t="n"/>
      <c r="F496" s="39">
        <f>IFERROR(INDEX(销售员主数据!$B$2:$B$101,MATCH($E496,销售员主数据!$A$2:$A$101,0)),"")</f>
        <v/>
      </c>
      <c r="G496" s="39">
        <f>IFERROR(INDEX(销售员主数据!$C$2:$C$101,MATCH($E496,销售员主数据!$A$2:$A$101,0)),"")</f>
        <v/>
      </c>
      <c r="H496" s="39">
        <f>IFERROR(INDEX(销售员主数据!$D$2:$D$101,MATCH($E496,销售员主数据!$A$2:$A$101,0)),"")</f>
        <v/>
      </c>
      <c r="I496" s="50" t="n"/>
      <c r="J496" s="50" t="n"/>
      <c r="K496" s="54" t="n"/>
      <c r="L496" s="55" t="n"/>
      <c r="M496" s="56" t="n"/>
      <c r="N496" s="57">
        <f>IF(COUNTBLANK(A496:L496)=12,"",1)</f>
        <v/>
      </c>
      <c r="O496" s="40" t="n"/>
    </row>
    <row r="497" ht="15" customHeight="1" s="34">
      <c r="A497" s="48" t="n"/>
      <c r="B497" s="41">
        <f>IF(A497="","",TEXT(A497,"mmm"))</f>
        <v/>
      </c>
      <c r="C497" s="41" t="n"/>
      <c r="D497" s="42" t="n"/>
      <c r="E497" s="41" t="n"/>
      <c r="F497" s="41">
        <f>IFERROR(INDEX(销售员主数据!$B$2:$B$101,MATCH($E497,销售员主数据!$A$2:$A$101,0)),"")</f>
        <v/>
      </c>
      <c r="G497" s="41">
        <f>IFERROR(INDEX(销售员主数据!$C$2:$C$101,MATCH($E497,销售员主数据!$A$2:$A$101,0)),"")</f>
        <v/>
      </c>
      <c r="H497" s="41">
        <f>IFERROR(INDEX(销售员主数据!$D$2:$D$101,MATCH($E497,销售员主数据!$A$2:$A$101,0)),"")</f>
        <v/>
      </c>
      <c r="I497" s="43" t="n"/>
      <c r="J497" s="43" t="n"/>
      <c r="K497" s="44" t="n"/>
      <c r="L497" s="58" t="n"/>
      <c r="M497" s="59" t="n"/>
      <c r="N497" s="60">
        <f>IF(COUNTBLANK(A497:L497)=12,"",1)</f>
        <v/>
      </c>
      <c r="O497" s="42" t="n"/>
    </row>
    <row r="498" ht="15" customHeight="1" s="34">
      <c r="A498" s="46" t="n"/>
      <c r="B498" s="39">
        <f>IF(A498="","",TEXT(A498,"mmm"))</f>
        <v/>
      </c>
      <c r="C498" s="39" t="n"/>
      <c r="D498" s="40" t="n"/>
      <c r="E498" s="39" t="n"/>
      <c r="F498" s="39">
        <f>IFERROR(INDEX(销售员主数据!$B$2:$B$101,MATCH($E498,销售员主数据!$A$2:$A$101,0)),"")</f>
        <v/>
      </c>
      <c r="G498" s="39">
        <f>IFERROR(INDEX(销售员主数据!$C$2:$C$101,MATCH($E498,销售员主数据!$A$2:$A$101,0)),"")</f>
        <v/>
      </c>
      <c r="H498" s="39">
        <f>IFERROR(INDEX(销售员主数据!$D$2:$D$101,MATCH($E498,销售员主数据!$A$2:$A$101,0)),"")</f>
        <v/>
      </c>
      <c r="I498" s="50" t="n"/>
      <c r="J498" s="50" t="n"/>
      <c r="K498" s="54" t="n"/>
      <c r="L498" s="55" t="n"/>
      <c r="M498" s="56" t="n"/>
      <c r="N498" s="57">
        <f>IF(COUNTBLANK(A498:L498)=12,"",1)</f>
        <v/>
      </c>
      <c r="O498" s="40" t="n"/>
    </row>
    <row r="499" ht="15" customHeight="1" s="34">
      <c r="A499" s="48" t="n"/>
      <c r="B499" s="41">
        <f>IF(A499="","",TEXT(A499,"mmm"))</f>
        <v/>
      </c>
      <c r="C499" s="41" t="n"/>
      <c r="D499" s="42" t="n"/>
      <c r="E499" s="41" t="n"/>
      <c r="F499" s="41">
        <f>IFERROR(INDEX(销售员主数据!$B$2:$B$101,MATCH($E499,销售员主数据!$A$2:$A$101,0)),"")</f>
        <v/>
      </c>
      <c r="G499" s="41">
        <f>IFERROR(INDEX(销售员主数据!$C$2:$C$101,MATCH($E499,销售员主数据!$A$2:$A$101,0)),"")</f>
        <v/>
      </c>
      <c r="H499" s="41">
        <f>IFERROR(INDEX(销售员主数据!$D$2:$D$101,MATCH($E499,销售员主数据!$A$2:$A$101,0)),"")</f>
        <v/>
      </c>
      <c r="I499" s="43" t="n"/>
      <c r="J499" s="43" t="n"/>
      <c r="K499" s="44" t="n"/>
      <c r="L499" s="58" t="n"/>
      <c r="M499" s="59" t="n"/>
      <c r="N499" s="60">
        <f>IF(COUNTBLANK(A499:L499)=12,"",1)</f>
        <v/>
      </c>
      <c r="O499" s="42" t="n"/>
    </row>
    <row r="500" ht="15" customHeight="1" s="34">
      <c r="A500" s="46" t="n"/>
      <c r="B500" s="39">
        <f>IF(A500="","",TEXT(A500,"mmm"))</f>
        <v/>
      </c>
      <c r="C500" s="39" t="n"/>
      <c r="D500" s="40" t="n"/>
      <c r="E500" s="39" t="n"/>
      <c r="F500" s="39">
        <f>IFERROR(INDEX(销售员主数据!$B$2:$B$101,MATCH($E500,销售员主数据!$A$2:$A$101,0)),"")</f>
        <v/>
      </c>
      <c r="G500" s="39">
        <f>IFERROR(INDEX(销售员主数据!$C$2:$C$101,MATCH($E500,销售员主数据!$A$2:$A$101,0)),"")</f>
        <v/>
      </c>
      <c r="H500" s="39">
        <f>IFERROR(INDEX(销售员主数据!$D$2:$D$101,MATCH($E500,销售员主数据!$A$2:$A$101,0)),"")</f>
        <v/>
      </c>
      <c r="I500" s="50" t="n"/>
      <c r="J500" s="50" t="n"/>
      <c r="K500" s="54" t="n"/>
      <c r="L500" s="55" t="n"/>
      <c r="M500" s="56" t="n"/>
      <c r="N500" s="57">
        <f>IF(COUNTBLANK(A500:L500)=12,"",1)</f>
        <v/>
      </c>
      <c r="O500" s="40" t="n"/>
    </row>
    <row r="501" ht="15" customHeight="1" s="34">
      <c r="A501" s="48" t="n"/>
      <c r="B501" s="41">
        <f>IF(A501="","",TEXT(A501,"mmm"))</f>
        <v/>
      </c>
      <c r="C501" s="41" t="n"/>
      <c r="D501" s="42" t="n"/>
      <c r="E501" s="41" t="n"/>
      <c r="F501" s="41">
        <f>IFERROR(INDEX(销售员主数据!$B$2:$B$101,MATCH($E501,销售员主数据!$A$2:$A$101,0)),"")</f>
        <v/>
      </c>
      <c r="G501" s="41">
        <f>IFERROR(INDEX(销售员主数据!$C$2:$C$101,MATCH($E501,销售员主数据!$A$2:$A$101,0)),"")</f>
        <v/>
      </c>
      <c r="H501" s="41">
        <f>IFERROR(INDEX(销售员主数据!$D$2:$D$101,MATCH($E501,销售员主数据!$A$2:$A$101,0)),"")</f>
        <v/>
      </c>
      <c r="I501" s="43" t="n"/>
      <c r="J501" s="43" t="n"/>
      <c r="K501" s="44" t="n"/>
      <c r="L501" s="58" t="n"/>
      <c r="M501" s="59" t="n"/>
      <c r="N501" s="60">
        <f>IF(COUNTBLANK(A501:L501)=12,"",1)</f>
        <v/>
      </c>
      <c r="O501" s="42" t="n"/>
    </row>
    <row r="502" ht="15" customHeight="1" s="34">
      <c r="A502" s="46" t="n"/>
      <c r="B502" s="39">
        <f>IF(A502="","",TEXT(A502,"mmm"))</f>
        <v/>
      </c>
      <c r="C502" s="39" t="n"/>
      <c r="D502" s="40" t="n"/>
      <c r="E502" s="39" t="n"/>
      <c r="F502" s="39">
        <f>IFERROR(INDEX(销售员主数据!$B$2:$B$101,MATCH($E502,销售员主数据!$A$2:$A$101,0)),"")</f>
        <v/>
      </c>
      <c r="G502" s="39">
        <f>IFERROR(INDEX(销售员主数据!$C$2:$C$101,MATCH($E502,销售员主数据!$A$2:$A$101,0)),"")</f>
        <v/>
      </c>
      <c r="H502" s="39">
        <f>IFERROR(INDEX(销售员主数据!$D$2:$D$101,MATCH($E502,销售员主数据!$A$2:$A$101,0)),"")</f>
        <v/>
      </c>
      <c r="I502" s="50" t="n"/>
      <c r="J502" s="50" t="n"/>
      <c r="K502" s="54" t="n"/>
      <c r="L502" s="55" t="n"/>
      <c r="M502" s="56" t="n"/>
      <c r="N502" s="57">
        <f>IF(COUNTBLANK(A502:L502)=12,"",1)</f>
        <v/>
      </c>
      <c r="O502" s="40" t="n"/>
    </row>
    <row r="503" ht="15" customHeight="1" s="34">
      <c r="A503" s="48" t="n"/>
      <c r="B503" s="41">
        <f>IF(A503="","",TEXT(A503,"mmm"))</f>
        <v/>
      </c>
      <c r="C503" s="41" t="n"/>
      <c r="D503" s="42" t="n"/>
      <c r="E503" s="41" t="n"/>
      <c r="F503" s="41">
        <f>IFERROR(INDEX(销售员主数据!$B$2:$B$101,MATCH($E503,销售员主数据!$A$2:$A$101,0)),"")</f>
        <v/>
      </c>
      <c r="G503" s="41">
        <f>IFERROR(INDEX(销售员主数据!$C$2:$C$101,MATCH($E503,销售员主数据!$A$2:$A$101,0)),"")</f>
        <v/>
      </c>
      <c r="H503" s="41">
        <f>IFERROR(INDEX(销售员主数据!$D$2:$D$101,MATCH($E503,销售员主数据!$A$2:$A$101,0)),"")</f>
        <v/>
      </c>
      <c r="I503" s="43" t="n"/>
      <c r="J503" s="43" t="n"/>
      <c r="K503" s="44" t="n"/>
      <c r="L503" s="58" t="n"/>
      <c r="M503" s="59" t="n"/>
      <c r="N503" s="60">
        <f>IF(COUNTBLANK(A503:L503)=12,"",1)</f>
        <v/>
      </c>
      <c r="O503" s="42" t="n"/>
    </row>
    <row r="504" ht="15" customHeight="1" s="34">
      <c r="A504" s="46" t="n"/>
      <c r="B504" s="39">
        <f>IF(A504="","",TEXT(A504,"mmm"))</f>
        <v/>
      </c>
      <c r="C504" s="39" t="n"/>
      <c r="D504" s="40" t="n"/>
      <c r="E504" s="39" t="n"/>
      <c r="F504" s="39">
        <f>IFERROR(INDEX(销售员主数据!$B$2:$B$101,MATCH($E504,销售员主数据!$A$2:$A$101,0)),"")</f>
        <v/>
      </c>
      <c r="G504" s="39">
        <f>IFERROR(INDEX(销售员主数据!$C$2:$C$101,MATCH($E504,销售员主数据!$A$2:$A$101,0)),"")</f>
        <v/>
      </c>
      <c r="H504" s="39">
        <f>IFERROR(INDEX(销售员主数据!$D$2:$D$101,MATCH($E504,销售员主数据!$A$2:$A$101,0)),"")</f>
        <v/>
      </c>
      <c r="I504" s="50" t="n"/>
      <c r="J504" s="50" t="n"/>
      <c r="K504" s="54" t="n"/>
      <c r="L504" s="55" t="n"/>
      <c r="M504" s="56" t="n"/>
      <c r="N504" s="57">
        <f>IF(COUNTBLANK(A504:L504)=12,"",1)</f>
        <v/>
      </c>
      <c r="O504" s="40" t="n"/>
    </row>
    <row r="505" ht="15" customHeight="1" s="34">
      <c r="A505" s="48" t="n"/>
      <c r="B505" s="41">
        <f>IF(A505="","",TEXT(A505,"mmm"))</f>
        <v/>
      </c>
      <c r="C505" s="41" t="n"/>
      <c r="D505" s="42" t="n"/>
      <c r="E505" s="41" t="n"/>
      <c r="F505" s="41">
        <f>IFERROR(INDEX(销售员主数据!$B$2:$B$101,MATCH($E505,销售员主数据!$A$2:$A$101,0)),"")</f>
        <v/>
      </c>
      <c r="G505" s="41">
        <f>IFERROR(INDEX(销售员主数据!$C$2:$C$101,MATCH($E505,销售员主数据!$A$2:$A$101,0)),"")</f>
        <v/>
      </c>
      <c r="H505" s="41">
        <f>IFERROR(INDEX(销售员主数据!$D$2:$D$101,MATCH($E505,销售员主数据!$A$2:$A$101,0)),"")</f>
        <v/>
      </c>
      <c r="I505" s="43" t="n"/>
      <c r="J505" s="43" t="n"/>
      <c r="K505" s="44" t="n"/>
      <c r="L505" s="58" t="n"/>
      <c r="M505" s="59" t="n"/>
      <c r="N505" s="60">
        <f>IF(COUNTBLANK(A505:L505)=12,"",1)</f>
        <v/>
      </c>
      <c r="O505" s="42" t="n"/>
    </row>
    <row r="506" ht="15" customHeight="1" s="34">
      <c r="A506" s="46" t="n"/>
      <c r="B506" s="39">
        <f>IF(A506="","",TEXT(A506,"mmm"))</f>
        <v/>
      </c>
      <c r="C506" s="39" t="n"/>
      <c r="D506" s="40" t="n"/>
      <c r="E506" s="39" t="n"/>
      <c r="F506" s="39">
        <f>IFERROR(INDEX(销售员主数据!$B$2:$B$101,MATCH($E506,销售员主数据!$A$2:$A$101,0)),"")</f>
        <v/>
      </c>
      <c r="G506" s="39">
        <f>IFERROR(INDEX(销售员主数据!$C$2:$C$101,MATCH($E506,销售员主数据!$A$2:$A$101,0)),"")</f>
        <v/>
      </c>
      <c r="H506" s="39">
        <f>IFERROR(INDEX(销售员主数据!$D$2:$D$101,MATCH($E506,销售员主数据!$A$2:$A$101,0)),"")</f>
        <v/>
      </c>
      <c r="I506" s="50" t="n"/>
      <c r="J506" s="50" t="n"/>
      <c r="K506" s="54" t="n"/>
      <c r="L506" s="55" t="n"/>
      <c r="M506" s="56" t="n"/>
      <c r="N506" s="57">
        <f>IF(COUNTBLANK(A506:L506)=12,"",1)</f>
        <v/>
      </c>
      <c r="O506" s="40" t="n"/>
    </row>
    <row r="507" ht="15" customHeight="1" s="34">
      <c r="A507" s="48" t="n"/>
      <c r="B507" s="41">
        <f>IF(A507="","",TEXT(A507,"mmm"))</f>
        <v/>
      </c>
      <c r="C507" s="41" t="n"/>
      <c r="D507" s="42" t="n"/>
      <c r="E507" s="41" t="n"/>
      <c r="F507" s="41">
        <f>IFERROR(INDEX(销售员主数据!$B$2:$B$101,MATCH($E507,销售员主数据!$A$2:$A$101,0)),"")</f>
        <v/>
      </c>
      <c r="G507" s="41">
        <f>IFERROR(INDEX(销售员主数据!$C$2:$C$101,MATCH($E507,销售员主数据!$A$2:$A$101,0)),"")</f>
        <v/>
      </c>
      <c r="H507" s="41">
        <f>IFERROR(INDEX(销售员主数据!$D$2:$D$101,MATCH($E507,销售员主数据!$A$2:$A$101,0)),"")</f>
        <v/>
      </c>
      <c r="I507" s="43" t="n"/>
      <c r="J507" s="43" t="n"/>
      <c r="K507" s="44" t="n"/>
      <c r="L507" s="58" t="n"/>
      <c r="M507" s="59" t="n"/>
      <c r="N507" s="60">
        <f>IF(COUNTBLANK(A507:L507)=12,"",1)</f>
        <v/>
      </c>
      <c r="O507" s="42" t="n"/>
    </row>
    <row r="508" ht="15" customHeight="1" s="34">
      <c r="A508" s="46" t="n"/>
      <c r="B508" s="39">
        <f>IF(A508="","",TEXT(A508,"mmm"))</f>
        <v/>
      </c>
      <c r="C508" s="39" t="n"/>
      <c r="D508" s="40" t="n"/>
      <c r="E508" s="39" t="n"/>
      <c r="F508" s="39">
        <f>IFERROR(INDEX(销售员主数据!$B$2:$B$101,MATCH($E508,销售员主数据!$A$2:$A$101,0)),"")</f>
        <v/>
      </c>
      <c r="G508" s="39">
        <f>IFERROR(INDEX(销售员主数据!$C$2:$C$101,MATCH($E508,销售员主数据!$A$2:$A$101,0)),"")</f>
        <v/>
      </c>
      <c r="H508" s="39">
        <f>IFERROR(INDEX(销售员主数据!$D$2:$D$101,MATCH($E508,销售员主数据!$A$2:$A$101,0)),"")</f>
        <v/>
      </c>
      <c r="I508" s="50" t="n"/>
      <c r="J508" s="50" t="n"/>
      <c r="K508" s="54" t="n"/>
      <c r="L508" s="55" t="n"/>
      <c r="M508" s="56" t="n"/>
      <c r="N508" s="57">
        <f>IF(COUNTBLANK(A508:L508)=12,"",1)</f>
        <v/>
      </c>
      <c r="O508" s="40" t="n"/>
    </row>
    <row r="509" ht="15" customHeight="1" s="34">
      <c r="A509" s="48" t="n"/>
      <c r="B509" s="41">
        <f>IF(A509="","",TEXT(A509,"mmm"))</f>
        <v/>
      </c>
      <c r="C509" s="41" t="n"/>
      <c r="D509" s="42" t="n"/>
      <c r="E509" s="41" t="n"/>
      <c r="F509" s="41">
        <f>IFERROR(INDEX(销售员主数据!$B$2:$B$101,MATCH($E509,销售员主数据!$A$2:$A$101,0)),"")</f>
        <v/>
      </c>
      <c r="G509" s="41">
        <f>IFERROR(INDEX(销售员主数据!$C$2:$C$101,MATCH($E509,销售员主数据!$A$2:$A$101,0)),"")</f>
        <v/>
      </c>
      <c r="H509" s="41">
        <f>IFERROR(INDEX(销售员主数据!$D$2:$D$101,MATCH($E509,销售员主数据!$A$2:$A$101,0)),"")</f>
        <v/>
      </c>
      <c r="I509" s="43" t="n"/>
      <c r="J509" s="43" t="n"/>
      <c r="K509" s="44" t="n"/>
      <c r="L509" s="58" t="n"/>
      <c r="M509" s="59" t="n"/>
      <c r="N509" s="60">
        <f>IF(COUNTBLANK(A509:L509)=12,"",1)</f>
        <v/>
      </c>
      <c r="O509" s="42" t="n"/>
    </row>
    <row r="510" ht="15" customHeight="1" s="34">
      <c r="A510" s="46" t="n"/>
      <c r="B510" s="39">
        <f>IF(A510="","",TEXT(A510,"mmm"))</f>
        <v/>
      </c>
      <c r="C510" s="39" t="n"/>
      <c r="D510" s="40" t="n"/>
      <c r="E510" s="39" t="n"/>
      <c r="F510" s="39">
        <f>IFERROR(INDEX(销售员主数据!$B$2:$B$101,MATCH($E510,销售员主数据!$A$2:$A$101,0)),"")</f>
        <v/>
      </c>
      <c r="G510" s="39">
        <f>IFERROR(INDEX(销售员主数据!$C$2:$C$101,MATCH($E510,销售员主数据!$A$2:$A$101,0)),"")</f>
        <v/>
      </c>
      <c r="H510" s="39">
        <f>IFERROR(INDEX(销售员主数据!$D$2:$D$101,MATCH($E510,销售员主数据!$A$2:$A$101,0)),"")</f>
        <v/>
      </c>
      <c r="I510" s="50" t="n"/>
      <c r="J510" s="50" t="n"/>
      <c r="K510" s="54" t="n"/>
      <c r="L510" s="55" t="n"/>
      <c r="M510" s="56" t="n"/>
      <c r="N510" s="57">
        <f>IF(COUNTBLANK(A510:L510)=12,"",1)</f>
        <v/>
      </c>
      <c r="O510" s="40" t="n"/>
    </row>
    <row r="511" ht="15" customHeight="1" s="34">
      <c r="A511" s="48" t="n"/>
      <c r="B511" s="41">
        <f>IF(A511="","",TEXT(A511,"mmm"))</f>
        <v/>
      </c>
      <c r="C511" s="41" t="n"/>
      <c r="D511" s="42" t="n"/>
      <c r="E511" s="41" t="n"/>
      <c r="F511" s="41">
        <f>IFERROR(INDEX(销售员主数据!$B$2:$B$101,MATCH($E511,销售员主数据!$A$2:$A$101,0)),"")</f>
        <v/>
      </c>
      <c r="G511" s="41">
        <f>IFERROR(INDEX(销售员主数据!$C$2:$C$101,MATCH($E511,销售员主数据!$A$2:$A$101,0)),"")</f>
        <v/>
      </c>
      <c r="H511" s="41">
        <f>IFERROR(INDEX(销售员主数据!$D$2:$D$101,MATCH($E511,销售员主数据!$A$2:$A$101,0)),"")</f>
        <v/>
      </c>
      <c r="I511" s="43" t="n"/>
      <c r="J511" s="43" t="n"/>
      <c r="K511" s="44" t="n"/>
      <c r="L511" s="58" t="n"/>
      <c r="M511" s="59" t="n"/>
      <c r="N511" s="60">
        <f>IF(COUNTBLANK(A511:L511)=12,"",1)</f>
        <v/>
      </c>
      <c r="O511" s="42" t="n"/>
    </row>
    <row r="512" ht="15" customHeight="1" s="34">
      <c r="A512" s="46" t="n"/>
      <c r="B512" s="39">
        <f>IF(A512="","",TEXT(A512,"mmm"))</f>
        <v/>
      </c>
      <c r="C512" s="39" t="n"/>
      <c r="D512" s="40" t="n"/>
      <c r="E512" s="39" t="n"/>
      <c r="F512" s="39">
        <f>IFERROR(INDEX(销售员主数据!$B$2:$B$101,MATCH($E512,销售员主数据!$A$2:$A$101,0)),"")</f>
        <v/>
      </c>
      <c r="G512" s="39">
        <f>IFERROR(INDEX(销售员主数据!$C$2:$C$101,MATCH($E512,销售员主数据!$A$2:$A$101,0)),"")</f>
        <v/>
      </c>
      <c r="H512" s="39">
        <f>IFERROR(INDEX(销售员主数据!$D$2:$D$101,MATCH($E512,销售员主数据!$A$2:$A$101,0)),"")</f>
        <v/>
      </c>
      <c r="I512" s="50" t="n"/>
      <c r="J512" s="50" t="n"/>
      <c r="K512" s="54" t="n"/>
      <c r="L512" s="55" t="n"/>
      <c r="M512" s="56" t="n"/>
      <c r="N512" s="57">
        <f>IF(COUNTBLANK(A512:L512)=12,"",1)</f>
        <v/>
      </c>
      <c r="O512" s="40" t="n"/>
    </row>
    <row r="513" ht="15" customHeight="1" s="34">
      <c r="A513" s="48" t="n"/>
      <c r="B513" s="41">
        <f>IF(A513="","",TEXT(A513,"mmm"))</f>
        <v/>
      </c>
      <c r="C513" s="41" t="n"/>
      <c r="D513" s="42" t="n"/>
      <c r="E513" s="41" t="n"/>
      <c r="F513" s="41">
        <f>IFERROR(INDEX(销售员主数据!$B$2:$B$101,MATCH($E513,销售员主数据!$A$2:$A$101,0)),"")</f>
        <v/>
      </c>
      <c r="G513" s="41">
        <f>IFERROR(INDEX(销售员主数据!$C$2:$C$101,MATCH($E513,销售员主数据!$A$2:$A$101,0)),"")</f>
        <v/>
      </c>
      <c r="H513" s="41">
        <f>IFERROR(INDEX(销售员主数据!$D$2:$D$101,MATCH($E513,销售员主数据!$A$2:$A$101,0)),"")</f>
        <v/>
      </c>
      <c r="I513" s="43" t="n"/>
      <c r="J513" s="43" t="n"/>
      <c r="K513" s="44" t="n"/>
      <c r="L513" s="58" t="n"/>
      <c r="M513" s="59" t="n"/>
      <c r="N513" s="60">
        <f>IF(COUNTBLANK(A513:L513)=12,"",1)</f>
        <v/>
      </c>
      <c r="O513" s="42" t="n"/>
    </row>
    <row r="514" ht="15" customHeight="1" s="34">
      <c r="A514" s="46" t="n"/>
      <c r="B514" s="39">
        <f>IF(A514="","",TEXT(A514,"mmm"))</f>
        <v/>
      </c>
      <c r="C514" s="39" t="n"/>
      <c r="D514" s="40" t="n"/>
      <c r="E514" s="39" t="n"/>
      <c r="F514" s="39">
        <f>IFERROR(INDEX(销售员主数据!$B$2:$B$101,MATCH($E514,销售员主数据!$A$2:$A$101,0)),"")</f>
        <v/>
      </c>
      <c r="G514" s="39">
        <f>IFERROR(INDEX(销售员主数据!$C$2:$C$101,MATCH($E514,销售员主数据!$A$2:$A$101,0)),"")</f>
        <v/>
      </c>
      <c r="H514" s="39">
        <f>IFERROR(INDEX(销售员主数据!$D$2:$D$101,MATCH($E514,销售员主数据!$A$2:$A$101,0)),"")</f>
        <v/>
      </c>
      <c r="I514" s="50" t="n"/>
      <c r="J514" s="50" t="n"/>
      <c r="K514" s="54" t="n"/>
      <c r="L514" s="55" t="n"/>
      <c r="M514" s="56" t="n"/>
      <c r="N514" s="57">
        <f>IF(COUNTBLANK(A514:L514)=12,"",1)</f>
        <v/>
      </c>
      <c r="O514" s="40" t="n"/>
    </row>
    <row r="515" ht="15" customHeight="1" s="34">
      <c r="A515" s="48" t="n"/>
      <c r="B515" s="41">
        <f>IF(A515="","",TEXT(A515,"mmm"))</f>
        <v/>
      </c>
      <c r="C515" s="41" t="n"/>
      <c r="D515" s="42" t="n"/>
      <c r="E515" s="41" t="n"/>
      <c r="F515" s="41">
        <f>IFERROR(INDEX(销售员主数据!$B$2:$B$101,MATCH($E515,销售员主数据!$A$2:$A$101,0)),"")</f>
        <v/>
      </c>
      <c r="G515" s="41">
        <f>IFERROR(INDEX(销售员主数据!$C$2:$C$101,MATCH($E515,销售员主数据!$A$2:$A$101,0)),"")</f>
        <v/>
      </c>
      <c r="H515" s="41">
        <f>IFERROR(INDEX(销售员主数据!$D$2:$D$101,MATCH($E515,销售员主数据!$A$2:$A$101,0)),"")</f>
        <v/>
      </c>
      <c r="I515" s="43" t="n"/>
      <c r="J515" s="43" t="n"/>
      <c r="K515" s="44" t="n"/>
      <c r="L515" s="58" t="n"/>
      <c r="M515" s="59" t="n"/>
      <c r="N515" s="60">
        <f>IF(COUNTBLANK(A515:L515)=12,"",1)</f>
        <v/>
      </c>
      <c r="O515" s="42" t="n"/>
    </row>
    <row r="516" ht="15" customHeight="1" s="34">
      <c r="A516" s="46" t="n"/>
      <c r="B516" s="39">
        <f>IF(A516="","",TEXT(A516,"mmm"))</f>
        <v/>
      </c>
      <c r="C516" s="39" t="n"/>
      <c r="D516" s="40" t="n"/>
      <c r="E516" s="39" t="n"/>
      <c r="F516" s="39">
        <f>IFERROR(INDEX(销售员主数据!$B$2:$B$101,MATCH($E516,销售员主数据!$A$2:$A$101,0)),"")</f>
        <v/>
      </c>
      <c r="G516" s="39">
        <f>IFERROR(INDEX(销售员主数据!$C$2:$C$101,MATCH($E516,销售员主数据!$A$2:$A$101,0)),"")</f>
        <v/>
      </c>
      <c r="H516" s="39">
        <f>IFERROR(INDEX(销售员主数据!$D$2:$D$101,MATCH($E516,销售员主数据!$A$2:$A$101,0)),"")</f>
        <v/>
      </c>
      <c r="I516" s="50" t="n"/>
      <c r="J516" s="50" t="n"/>
      <c r="K516" s="54" t="n"/>
      <c r="L516" s="55" t="n"/>
      <c r="M516" s="56" t="n"/>
      <c r="N516" s="57">
        <f>IF(COUNTBLANK(A516:L516)=12,"",1)</f>
        <v/>
      </c>
      <c r="O516" s="40" t="n"/>
    </row>
    <row r="517" ht="15" customHeight="1" s="34">
      <c r="A517" s="48" t="n"/>
      <c r="B517" s="41">
        <f>IF(A517="","",TEXT(A517,"mmm"))</f>
        <v/>
      </c>
      <c r="C517" s="41" t="n"/>
      <c r="D517" s="42" t="n"/>
      <c r="E517" s="41" t="n"/>
      <c r="F517" s="41">
        <f>IFERROR(INDEX(销售员主数据!$B$2:$B$101,MATCH($E517,销售员主数据!$A$2:$A$101,0)),"")</f>
        <v/>
      </c>
      <c r="G517" s="41">
        <f>IFERROR(INDEX(销售员主数据!$C$2:$C$101,MATCH($E517,销售员主数据!$A$2:$A$101,0)),"")</f>
        <v/>
      </c>
      <c r="H517" s="41">
        <f>IFERROR(INDEX(销售员主数据!$D$2:$D$101,MATCH($E517,销售员主数据!$A$2:$A$101,0)),"")</f>
        <v/>
      </c>
      <c r="I517" s="43" t="n"/>
      <c r="J517" s="43" t="n"/>
      <c r="K517" s="44" t="n"/>
      <c r="L517" s="58" t="n"/>
      <c r="M517" s="59" t="n"/>
      <c r="N517" s="60">
        <f>IF(COUNTBLANK(A517:L517)=12,"",1)</f>
        <v/>
      </c>
      <c r="O517" s="42" t="n"/>
    </row>
    <row r="518" ht="15" customHeight="1" s="34">
      <c r="A518" s="46" t="n"/>
      <c r="B518" s="39">
        <f>IF(A518="","",TEXT(A518,"mmm"))</f>
        <v/>
      </c>
      <c r="C518" s="39" t="n"/>
      <c r="D518" s="40" t="n"/>
      <c r="E518" s="39" t="n"/>
      <c r="F518" s="39">
        <f>IFERROR(INDEX(销售员主数据!$B$2:$B$101,MATCH($E518,销售员主数据!$A$2:$A$101,0)),"")</f>
        <v/>
      </c>
      <c r="G518" s="39">
        <f>IFERROR(INDEX(销售员主数据!$C$2:$C$101,MATCH($E518,销售员主数据!$A$2:$A$101,0)),"")</f>
        <v/>
      </c>
      <c r="H518" s="39">
        <f>IFERROR(INDEX(销售员主数据!$D$2:$D$101,MATCH($E518,销售员主数据!$A$2:$A$101,0)),"")</f>
        <v/>
      </c>
      <c r="I518" s="50" t="n"/>
      <c r="J518" s="50" t="n"/>
      <c r="K518" s="54" t="n"/>
      <c r="L518" s="55" t="n"/>
      <c r="M518" s="56" t="n"/>
      <c r="N518" s="57">
        <f>IF(COUNTBLANK(A518:L518)=12,"",1)</f>
        <v/>
      </c>
      <c r="O518" s="40" t="n"/>
    </row>
    <row r="519" ht="15" customHeight="1" s="34">
      <c r="A519" s="48" t="n"/>
      <c r="B519" s="41">
        <f>IF(A519="","",TEXT(A519,"mmm"))</f>
        <v/>
      </c>
      <c r="C519" s="41" t="n"/>
      <c r="D519" s="42" t="n"/>
      <c r="E519" s="41" t="n"/>
      <c r="F519" s="41">
        <f>IFERROR(INDEX(销售员主数据!$B$2:$B$101,MATCH($E519,销售员主数据!$A$2:$A$101,0)),"")</f>
        <v/>
      </c>
      <c r="G519" s="41">
        <f>IFERROR(INDEX(销售员主数据!$C$2:$C$101,MATCH($E519,销售员主数据!$A$2:$A$101,0)),"")</f>
        <v/>
      </c>
      <c r="H519" s="41">
        <f>IFERROR(INDEX(销售员主数据!$D$2:$D$101,MATCH($E519,销售员主数据!$A$2:$A$101,0)),"")</f>
        <v/>
      </c>
      <c r="I519" s="43" t="n"/>
      <c r="J519" s="43" t="n"/>
      <c r="K519" s="44" t="n"/>
      <c r="L519" s="58" t="n"/>
      <c r="M519" s="59" t="n"/>
      <c r="N519" s="60">
        <f>IF(COUNTBLANK(A519:L519)=12,"",1)</f>
        <v/>
      </c>
      <c r="O519" s="42" t="n"/>
    </row>
    <row r="520" ht="15" customHeight="1" s="34">
      <c r="A520" s="46" t="n"/>
      <c r="B520" s="39">
        <f>IF(A520="","",TEXT(A520,"mmm"))</f>
        <v/>
      </c>
      <c r="C520" s="39" t="n"/>
      <c r="D520" s="40" t="n"/>
      <c r="E520" s="39" t="n"/>
      <c r="F520" s="39">
        <f>IFERROR(INDEX(销售员主数据!$B$2:$B$101,MATCH($E520,销售员主数据!$A$2:$A$101,0)),"")</f>
        <v/>
      </c>
      <c r="G520" s="39">
        <f>IFERROR(INDEX(销售员主数据!$C$2:$C$101,MATCH($E520,销售员主数据!$A$2:$A$101,0)),"")</f>
        <v/>
      </c>
      <c r="H520" s="39">
        <f>IFERROR(INDEX(销售员主数据!$D$2:$D$101,MATCH($E520,销售员主数据!$A$2:$A$101,0)),"")</f>
        <v/>
      </c>
      <c r="I520" s="50" t="n"/>
      <c r="J520" s="50" t="n"/>
      <c r="K520" s="54" t="n"/>
      <c r="L520" s="55" t="n"/>
      <c r="M520" s="56" t="n"/>
      <c r="N520" s="57">
        <f>IF(COUNTBLANK(A520:L520)=12,"",1)</f>
        <v/>
      </c>
      <c r="O520" s="40" t="n"/>
    </row>
    <row r="521" ht="15" customHeight="1" s="34">
      <c r="A521" s="48" t="n"/>
      <c r="B521" s="41">
        <f>IF(A521="","",TEXT(A521,"mmm"))</f>
        <v/>
      </c>
      <c r="C521" s="41" t="n"/>
      <c r="D521" s="42" t="n"/>
      <c r="E521" s="41" t="n"/>
      <c r="F521" s="41">
        <f>IFERROR(INDEX(销售员主数据!$B$2:$B$101,MATCH($E521,销售员主数据!$A$2:$A$101,0)),"")</f>
        <v/>
      </c>
      <c r="G521" s="41">
        <f>IFERROR(INDEX(销售员主数据!$C$2:$C$101,MATCH($E521,销售员主数据!$A$2:$A$101,0)),"")</f>
        <v/>
      </c>
      <c r="H521" s="41">
        <f>IFERROR(INDEX(销售员主数据!$D$2:$D$101,MATCH($E521,销售员主数据!$A$2:$A$101,0)),"")</f>
        <v/>
      </c>
      <c r="I521" s="43" t="n"/>
      <c r="J521" s="43" t="n"/>
      <c r="K521" s="44" t="n"/>
      <c r="L521" s="58" t="n"/>
      <c r="M521" s="59" t="n"/>
      <c r="N521" s="60">
        <f>IF(COUNTBLANK(A521:L521)=12,"",1)</f>
        <v/>
      </c>
      <c r="O521" s="42" t="n"/>
    </row>
    <row r="522" ht="15" customHeight="1" s="34">
      <c r="A522" s="46" t="n"/>
      <c r="B522" s="39">
        <f>IF(A522="","",TEXT(A522,"mmm"))</f>
        <v/>
      </c>
      <c r="C522" s="39" t="n"/>
      <c r="D522" s="40" t="n"/>
      <c r="E522" s="39" t="n"/>
      <c r="F522" s="39">
        <f>IFERROR(INDEX(销售员主数据!$B$2:$B$101,MATCH($E522,销售员主数据!$A$2:$A$101,0)),"")</f>
        <v/>
      </c>
      <c r="G522" s="39">
        <f>IFERROR(INDEX(销售员主数据!$C$2:$C$101,MATCH($E522,销售员主数据!$A$2:$A$101,0)),"")</f>
        <v/>
      </c>
      <c r="H522" s="39">
        <f>IFERROR(INDEX(销售员主数据!$D$2:$D$101,MATCH($E522,销售员主数据!$A$2:$A$101,0)),"")</f>
        <v/>
      </c>
      <c r="I522" s="50" t="n"/>
      <c r="J522" s="50" t="n"/>
      <c r="K522" s="54" t="n"/>
      <c r="L522" s="55" t="n"/>
      <c r="M522" s="56" t="n"/>
      <c r="N522" s="57">
        <f>IF(COUNTBLANK(A522:L522)=12,"",1)</f>
        <v/>
      </c>
      <c r="O522" s="40" t="n"/>
    </row>
    <row r="523" ht="15" customHeight="1" s="34">
      <c r="A523" s="48" t="n"/>
      <c r="B523" s="41">
        <f>IF(A523="","",TEXT(A523,"mmm"))</f>
        <v/>
      </c>
      <c r="C523" s="41" t="n"/>
      <c r="D523" s="42" t="n"/>
      <c r="E523" s="41" t="n"/>
      <c r="F523" s="41">
        <f>IFERROR(INDEX(销售员主数据!$B$2:$B$101,MATCH($E523,销售员主数据!$A$2:$A$101,0)),"")</f>
        <v/>
      </c>
      <c r="G523" s="41">
        <f>IFERROR(INDEX(销售员主数据!$C$2:$C$101,MATCH($E523,销售员主数据!$A$2:$A$101,0)),"")</f>
        <v/>
      </c>
      <c r="H523" s="41">
        <f>IFERROR(INDEX(销售员主数据!$D$2:$D$101,MATCH($E523,销售员主数据!$A$2:$A$101,0)),"")</f>
        <v/>
      </c>
      <c r="I523" s="43" t="n"/>
      <c r="J523" s="43" t="n"/>
      <c r="K523" s="44" t="n"/>
      <c r="L523" s="58" t="n"/>
      <c r="M523" s="59" t="n"/>
      <c r="N523" s="60">
        <f>IF(COUNTBLANK(A523:L523)=12,"",1)</f>
        <v/>
      </c>
      <c r="O523" s="42" t="n"/>
    </row>
    <row r="524" ht="15" customHeight="1" s="34">
      <c r="A524" s="46" t="n"/>
      <c r="B524" s="39">
        <f>IF(A524="","",TEXT(A524,"mmm"))</f>
        <v/>
      </c>
      <c r="C524" s="39" t="n"/>
      <c r="D524" s="40" t="n"/>
      <c r="E524" s="39" t="n"/>
      <c r="F524" s="39">
        <f>IFERROR(INDEX(销售员主数据!$B$2:$B$101,MATCH($E524,销售员主数据!$A$2:$A$101,0)),"")</f>
        <v/>
      </c>
      <c r="G524" s="39">
        <f>IFERROR(INDEX(销售员主数据!$C$2:$C$101,MATCH($E524,销售员主数据!$A$2:$A$101,0)),"")</f>
        <v/>
      </c>
      <c r="H524" s="39">
        <f>IFERROR(INDEX(销售员主数据!$D$2:$D$101,MATCH($E524,销售员主数据!$A$2:$A$101,0)),"")</f>
        <v/>
      </c>
      <c r="I524" s="50" t="n"/>
      <c r="J524" s="50" t="n"/>
      <c r="K524" s="54" t="n"/>
      <c r="L524" s="55" t="n"/>
      <c r="M524" s="56" t="n"/>
      <c r="N524" s="57">
        <f>IF(COUNTBLANK(A524:L524)=12,"",1)</f>
        <v/>
      </c>
      <c r="O524" s="40" t="n"/>
    </row>
    <row r="525" ht="15" customHeight="1" s="34">
      <c r="A525" s="48" t="n"/>
      <c r="B525" s="41">
        <f>IF(A525="","",TEXT(A525,"mmm"))</f>
        <v/>
      </c>
      <c r="C525" s="41" t="n"/>
      <c r="D525" s="42" t="n"/>
      <c r="E525" s="41" t="n"/>
      <c r="F525" s="41">
        <f>IFERROR(INDEX(销售员主数据!$B$2:$B$101,MATCH($E525,销售员主数据!$A$2:$A$101,0)),"")</f>
        <v/>
      </c>
      <c r="G525" s="41">
        <f>IFERROR(INDEX(销售员主数据!$C$2:$C$101,MATCH($E525,销售员主数据!$A$2:$A$101,0)),"")</f>
        <v/>
      </c>
      <c r="H525" s="41">
        <f>IFERROR(INDEX(销售员主数据!$D$2:$D$101,MATCH($E525,销售员主数据!$A$2:$A$101,0)),"")</f>
        <v/>
      </c>
      <c r="I525" s="43" t="n"/>
      <c r="J525" s="43" t="n"/>
      <c r="K525" s="44" t="n"/>
      <c r="L525" s="58" t="n"/>
      <c r="M525" s="59" t="n"/>
      <c r="N525" s="60">
        <f>IF(COUNTBLANK(A525:L525)=12,"",1)</f>
        <v/>
      </c>
      <c r="O525" s="42" t="n"/>
    </row>
    <row r="526" ht="15" customHeight="1" s="34">
      <c r="A526" s="46" t="n"/>
      <c r="B526" s="39">
        <f>IF(A526="","",TEXT(A526,"mmm"))</f>
        <v/>
      </c>
      <c r="C526" s="39" t="n"/>
      <c r="D526" s="40" t="n"/>
      <c r="E526" s="39" t="n"/>
      <c r="F526" s="39">
        <f>IFERROR(INDEX(销售员主数据!$B$2:$B$101,MATCH($E526,销售员主数据!$A$2:$A$101,0)),"")</f>
        <v/>
      </c>
      <c r="G526" s="39">
        <f>IFERROR(INDEX(销售员主数据!$C$2:$C$101,MATCH($E526,销售员主数据!$A$2:$A$101,0)),"")</f>
        <v/>
      </c>
      <c r="H526" s="39">
        <f>IFERROR(INDEX(销售员主数据!$D$2:$D$101,MATCH($E526,销售员主数据!$A$2:$A$101,0)),"")</f>
        <v/>
      </c>
      <c r="I526" s="50" t="n"/>
      <c r="J526" s="50" t="n"/>
      <c r="K526" s="54" t="n"/>
      <c r="L526" s="55" t="n"/>
      <c r="M526" s="56" t="n"/>
      <c r="N526" s="57">
        <f>IF(COUNTBLANK(A526:L526)=12,"",1)</f>
        <v/>
      </c>
      <c r="O526" s="40" t="n"/>
    </row>
    <row r="527" ht="15" customHeight="1" s="34">
      <c r="A527" s="48" t="n"/>
      <c r="B527" s="41">
        <f>IF(A527="","",TEXT(A527,"mmm"))</f>
        <v/>
      </c>
      <c r="C527" s="41" t="n"/>
      <c r="D527" s="42" t="n"/>
      <c r="E527" s="41" t="n"/>
      <c r="F527" s="41">
        <f>IFERROR(INDEX(销售员主数据!$B$2:$B$101,MATCH($E527,销售员主数据!$A$2:$A$101,0)),"")</f>
        <v/>
      </c>
      <c r="G527" s="41">
        <f>IFERROR(INDEX(销售员主数据!$C$2:$C$101,MATCH($E527,销售员主数据!$A$2:$A$101,0)),"")</f>
        <v/>
      </c>
      <c r="H527" s="41">
        <f>IFERROR(INDEX(销售员主数据!$D$2:$D$101,MATCH($E527,销售员主数据!$A$2:$A$101,0)),"")</f>
        <v/>
      </c>
      <c r="I527" s="43" t="n"/>
      <c r="J527" s="43" t="n"/>
      <c r="K527" s="44" t="n"/>
      <c r="L527" s="58" t="n"/>
      <c r="M527" s="59" t="n"/>
      <c r="N527" s="60">
        <f>IF(COUNTBLANK(A527:L527)=12,"",1)</f>
        <v/>
      </c>
      <c r="O527" s="42" t="n"/>
    </row>
    <row r="528" ht="15" customHeight="1" s="34">
      <c r="A528" s="46" t="n"/>
      <c r="B528" s="39">
        <f>IF(A528="","",TEXT(A528,"mmm"))</f>
        <v/>
      </c>
      <c r="C528" s="39" t="n"/>
      <c r="D528" s="40" t="n"/>
      <c r="E528" s="39" t="n"/>
      <c r="F528" s="39">
        <f>IFERROR(INDEX(销售员主数据!$B$2:$B$101,MATCH($E528,销售员主数据!$A$2:$A$101,0)),"")</f>
        <v/>
      </c>
      <c r="G528" s="39">
        <f>IFERROR(INDEX(销售员主数据!$C$2:$C$101,MATCH($E528,销售员主数据!$A$2:$A$101,0)),"")</f>
        <v/>
      </c>
      <c r="H528" s="39">
        <f>IFERROR(INDEX(销售员主数据!$D$2:$D$101,MATCH($E528,销售员主数据!$A$2:$A$101,0)),"")</f>
        <v/>
      </c>
      <c r="I528" s="50" t="n"/>
      <c r="J528" s="50" t="n"/>
      <c r="K528" s="54" t="n"/>
      <c r="L528" s="55" t="n"/>
      <c r="M528" s="56" t="n"/>
      <c r="N528" s="57">
        <f>IF(COUNTBLANK(A528:L528)=12,"",1)</f>
        <v/>
      </c>
      <c r="O528" s="40" t="n"/>
    </row>
    <row r="529" ht="15" customHeight="1" s="34">
      <c r="A529" s="48" t="n"/>
      <c r="B529" s="41">
        <f>IF(A529="","",TEXT(A529,"mmm"))</f>
        <v/>
      </c>
      <c r="C529" s="41" t="n"/>
      <c r="D529" s="42" t="n"/>
      <c r="E529" s="41" t="n"/>
      <c r="F529" s="41">
        <f>IFERROR(INDEX(销售员主数据!$B$2:$B$101,MATCH($E529,销售员主数据!$A$2:$A$101,0)),"")</f>
        <v/>
      </c>
      <c r="G529" s="41">
        <f>IFERROR(INDEX(销售员主数据!$C$2:$C$101,MATCH($E529,销售员主数据!$A$2:$A$101,0)),"")</f>
        <v/>
      </c>
      <c r="H529" s="41">
        <f>IFERROR(INDEX(销售员主数据!$D$2:$D$101,MATCH($E529,销售员主数据!$A$2:$A$101,0)),"")</f>
        <v/>
      </c>
      <c r="I529" s="43" t="n"/>
      <c r="J529" s="43" t="n"/>
      <c r="K529" s="44" t="n"/>
      <c r="L529" s="58" t="n"/>
      <c r="M529" s="59" t="n"/>
      <c r="N529" s="60">
        <f>IF(COUNTBLANK(A529:L529)=12,"",1)</f>
        <v/>
      </c>
      <c r="O529" s="42" t="n"/>
    </row>
    <row r="530" ht="15" customHeight="1" s="34">
      <c r="A530" s="46" t="n"/>
      <c r="B530" s="39">
        <f>IF(A530="","",TEXT(A530,"mmm"))</f>
        <v/>
      </c>
      <c r="C530" s="39" t="n"/>
      <c r="D530" s="40" t="n"/>
      <c r="E530" s="39" t="n"/>
      <c r="F530" s="39">
        <f>IFERROR(INDEX(销售员主数据!$B$2:$B$101,MATCH($E530,销售员主数据!$A$2:$A$101,0)),"")</f>
        <v/>
      </c>
      <c r="G530" s="39">
        <f>IFERROR(INDEX(销售员主数据!$C$2:$C$101,MATCH($E530,销售员主数据!$A$2:$A$101,0)),"")</f>
        <v/>
      </c>
      <c r="H530" s="39">
        <f>IFERROR(INDEX(销售员主数据!$D$2:$D$101,MATCH($E530,销售员主数据!$A$2:$A$101,0)),"")</f>
        <v/>
      </c>
      <c r="I530" s="50" t="n"/>
      <c r="J530" s="50" t="n"/>
      <c r="K530" s="54" t="n"/>
      <c r="L530" s="55" t="n"/>
      <c r="M530" s="56" t="n"/>
      <c r="N530" s="57">
        <f>IF(COUNTBLANK(A530:L530)=12,"",1)</f>
        <v/>
      </c>
      <c r="O530" s="40" t="n"/>
    </row>
    <row r="531" ht="15" customHeight="1" s="34">
      <c r="A531" s="48" t="n"/>
      <c r="B531" s="41">
        <f>IF(A531="","",TEXT(A531,"mmm"))</f>
        <v/>
      </c>
      <c r="C531" s="41" t="n"/>
      <c r="D531" s="42" t="n"/>
      <c r="E531" s="41" t="n"/>
      <c r="F531" s="41">
        <f>IFERROR(INDEX(销售员主数据!$B$2:$B$101,MATCH($E531,销售员主数据!$A$2:$A$101,0)),"")</f>
        <v/>
      </c>
      <c r="G531" s="41">
        <f>IFERROR(INDEX(销售员主数据!$C$2:$C$101,MATCH($E531,销售员主数据!$A$2:$A$101,0)),"")</f>
        <v/>
      </c>
      <c r="H531" s="41">
        <f>IFERROR(INDEX(销售员主数据!$D$2:$D$101,MATCH($E531,销售员主数据!$A$2:$A$101,0)),"")</f>
        <v/>
      </c>
      <c r="I531" s="43" t="n"/>
      <c r="J531" s="43" t="n"/>
      <c r="K531" s="44" t="n"/>
      <c r="L531" s="58" t="n"/>
      <c r="M531" s="59" t="n"/>
      <c r="N531" s="60">
        <f>IF(COUNTBLANK(A531:L531)=12,"",1)</f>
        <v/>
      </c>
      <c r="O531" s="42" t="n"/>
    </row>
    <row r="532" ht="15" customHeight="1" s="34">
      <c r="A532" s="46" t="n"/>
      <c r="B532" s="39">
        <f>IF(A532="","",TEXT(A532,"mmm"))</f>
        <v/>
      </c>
      <c r="C532" s="39" t="n"/>
      <c r="D532" s="40" t="n"/>
      <c r="E532" s="39" t="n"/>
      <c r="F532" s="39">
        <f>IFERROR(INDEX(销售员主数据!$B$2:$B$101,MATCH($E532,销售员主数据!$A$2:$A$101,0)),"")</f>
        <v/>
      </c>
      <c r="G532" s="39">
        <f>IFERROR(INDEX(销售员主数据!$C$2:$C$101,MATCH($E532,销售员主数据!$A$2:$A$101,0)),"")</f>
        <v/>
      </c>
      <c r="H532" s="39">
        <f>IFERROR(INDEX(销售员主数据!$D$2:$D$101,MATCH($E532,销售员主数据!$A$2:$A$101,0)),"")</f>
        <v/>
      </c>
      <c r="I532" s="50" t="n"/>
      <c r="J532" s="50" t="n"/>
      <c r="K532" s="54" t="n"/>
      <c r="L532" s="55" t="n"/>
      <c r="M532" s="56" t="n"/>
      <c r="N532" s="57">
        <f>IF(COUNTBLANK(A532:L532)=12,"",1)</f>
        <v/>
      </c>
      <c r="O532" s="40" t="n"/>
    </row>
    <row r="533" ht="15" customHeight="1" s="34">
      <c r="A533" s="48" t="n"/>
      <c r="B533" s="41">
        <f>IF(A533="","",TEXT(A533,"mmm"))</f>
        <v/>
      </c>
      <c r="C533" s="41" t="n"/>
      <c r="D533" s="42" t="n"/>
      <c r="E533" s="41" t="n"/>
      <c r="F533" s="41">
        <f>IFERROR(INDEX(销售员主数据!$B$2:$B$101,MATCH($E533,销售员主数据!$A$2:$A$101,0)),"")</f>
        <v/>
      </c>
      <c r="G533" s="41">
        <f>IFERROR(INDEX(销售员主数据!$C$2:$C$101,MATCH($E533,销售员主数据!$A$2:$A$101,0)),"")</f>
        <v/>
      </c>
      <c r="H533" s="41">
        <f>IFERROR(INDEX(销售员主数据!$D$2:$D$101,MATCH($E533,销售员主数据!$A$2:$A$101,0)),"")</f>
        <v/>
      </c>
      <c r="I533" s="43" t="n"/>
      <c r="J533" s="43" t="n"/>
      <c r="K533" s="44" t="n"/>
      <c r="L533" s="58" t="n"/>
      <c r="M533" s="59" t="n"/>
      <c r="N533" s="60">
        <f>IF(COUNTBLANK(A533:L533)=12,"",1)</f>
        <v/>
      </c>
      <c r="O533" s="42" t="n"/>
    </row>
    <row r="534" ht="15" customHeight="1" s="34">
      <c r="A534" s="46" t="n"/>
      <c r="B534" s="39">
        <f>IF(A534="","",TEXT(A534,"mmm"))</f>
        <v/>
      </c>
      <c r="C534" s="39" t="n"/>
      <c r="D534" s="40" t="n"/>
      <c r="E534" s="39" t="n"/>
      <c r="F534" s="39">
        <f>IFERROR(INDEX(销售员主数据!$B$2:$B$101,MATCH($E534,销售员主数据!$A$2:$A$101,0)),"")</f>
        <v/>
      </c>
      <c r="G534" s="39">
        <f>IFERROR(INDEX(销售员主数据!$C$2:$C$101,MATCH($E534,销售员主数据!$A$2:$A$101,0)),"")</f>
        <v/>
      </c>
      <c r="H534" s="39">
        <f>IFERROR(INDEX(销售员主数据!$D$2:$D$101,MATCH($E534,销售员主数据!$A$2:$A$101,0)),"")</f>
        <v/>
      </c>
      <c r="I534" s="50" t="n"/>
      <c r="J534" s="50" t="n"/>
      <c r="K534" s="54" t="n"/>
      <c r="L534" s="55" t="n"/>
      <c r="M534" s="56" t="n"/>
      <c r="N534" s="57">
        <f>IF(COUNTBLANK(A534:L534)=12,"",1)</f>
        <v/>
      </c>
      <c r="O534" s="40" t="n"/>
    </row>
    <row r="535" ht="15" customHeight="1" s="34">
      <c r="A535" s="48" t="n"/>
      <c r="B535" s="41">
        <f>IF(A535="","",TEXT(A535,"mmm"))</f>
        <v/>
      </c>
      <c r="C535" s="41" t="n"/>
      <c r="D535" s="42" t="n"/>
      <c r="E535" s="41" t="n"/>
      <c r="F535" s="41">
        <f>IFERROR(INDEX(销售员主数据!$B$2:$B$101,MATCH($E535,销售员主数据!$A$2:$A$101,0)),"")</f>
        <v/>
      </c>
      <c r="G535" s="41">
        <f>IFERROR(INDEX(销售员主数据!$C$2:$C$101,MATCH($E535,销售员主数据!$A$2:$A$101,0)),"")</f>
        <v/>
      </c>
      <c r="H535" s="41">
        <f>IFERROR(INDEX(销售员主数据!$D$2:$D$101,MATCH($E535,销售员主数据!$A$2:$A$101,0)),"")</f>
        <v/>
      </c>
      <c r="I535" s="43" t="n"/>
      <c r="J535" s="43" t="n"/>
      <c r="K535" s="44" t="n"/>
      <c r="L535" s="58" t="n"/>
      <c r="M535" s="59" t="n"/>
      <c r="N535" s="60">
        <f>IF(COUNTBLANK(A535:L535)=12,"",1)</f>
        <v/>
      </c>
      <c r="O535" s="42" t="n"/>
    </row>
    <row r="536" ht="15" customHeight="1" s="34">
      <c r="A536" s="46" t="n"/>
      <c r="B536" s="39">
        <f>IF(A536="","",TEXT(A536,"mmm"))</f>
        <v/>
      </c>
      <c r="C536" s="39" t="n"/>
      <c r="D536" s="40" t="n"/>
      <c r="E536" s="39" t="n"/>
      <c r="F536" s="39">
        <f>IFERROR(INDEX(销售员主数据!$B$2:$B$101,MATCH($E536,销售员主数据!$A$2:$A$101,0)),"")</f>
        <v/>
      </c>
      <c r="G536" s="39">
        <f>IFERROR(INDEX(销售员主数据!$C$2:$C$101,MATCH($E536,销售员主数据!$A$2:$A$101,0)),"")</f>
        <v/>
      </c>
      <c r="H536" s="39">
        <f>IFERROR(INDEX(销售员主数据!$D$2:$D$101,MATCH($E536,销售员主数据!$A$2:$A$101,0)),"")</f>
        <v/>
      </c>
      <c r="I536" s="50" t="n"/>
      <c r="J536" s="50" t="n"/>
      <c r="K536" s="54" t="n"/>
      <c r="L536" s="55" t="n"/>
      <c r="M536" s="56" t="n"/>
      <c r="N536" s="57">
        <f>IF(COUNTBLANK(A536:L536)=12,"",1)</f>
        <v/>
      </c>
      <c r="O536" s="40" t="n"/>
    </row>
    <row r="537" ht="15" customHeight="1" s="34">
      <c r="A537" s="48" t="n"/>
      <c r="B537" s="41">
        <f>IF(A537="","",TEXT(A537,"mmm"))</f>
        <v/>
      </c>
      <c r="C537" s="41" t="n"/>
      <c r="D537" s="42" t="n"/>
      <c r="E537" s="41" t="n"/>
      <c r="F537" s="41">
        <f>IFERROR(INDEX(销售员主数据!$B$2:$B$101,MATCH($E537,销售员主数据!$A$2:$A$101,0)),"")</f>
        <v/>
      </c>
      <c r="G537" s="41">
        <f>IFERROR(INDEX(销售员主数据!$C$2:$C$101,MATCH($E537,销售员主数据!$A$2:$A$101,0)),"")</f>
        <v/>
      </c>
      <c r="H537" s="41">
        <f>IFERROR(INDEX(销售员主数据!$D$2:$D$101,MATCH($E537,销售员主数据!$A$2:$A$101,0)),"")</f>
        <v/>
      </c>
      <c r="I537" s="43" t="n"/>
      <c r="J537" s="43" t="n"/>
      <c r="K537" s="44" t="n"/>
      <c r="L537" s="58" t="n"/>
      <c r="M537" s="59" t="n"/>
      <c r="N537" s="60">
        <f>IF(COUNTBLANK(A537:L537)=12,"",1)</f>
        <v/>
      </c>
      <c r="O537" s="42" t="n"/>
    </row>
    <row r="538" ht="15" customHeight="1" s="34">
      <c r="A538" s="46" t="n"/>
      <c r="B538" s="39">
        <f>IF(A538="","",TEXT(A538,"mmm"))</f>
        <v/>
      </c>
      <c r="C538" s="39" t="n"/>
      <c r="D538" s="40" t="n"/>
      <c r="E538" s="39" t="n"/>
      <c r="F538" s="39">
        <f>IFERROR(INDEX(销售员主数据!$B$2:$B$101,MATCH($E538,销售员主数据!$A$2:$A$101,0)),"")</f>
        <v/>
      </c>
      <c r="G538" s="39">
        <f>IFERROR(INDEX(销售员主数据!$C$2:$C$101,MATCH($E538,销售员主数据!$A$2:$A$101,0)),"")</f>
        <v/>
      </c>
      <c r="H538" s="39">
        <f>IFERROR(INDEX(销售员主数据!$D$2:$D$101,MATCH($E538,销售员主数据!$A$2:$A$101,0)),"")</f>
        <v/>
      </c>
      <c r="I538" s="50" t="n"/>
      <c r="J538" s="50" t="n"/>
      <c r="K538" s="54" t="n"/>
      <c r="L538" s="55" t="n"/>
      <c r="M538" s="56" t="n"/>
      <c r="N538" s="57">
        <f>IF(COUNTBLANK(A538:L538)=12,"",1)</f>
        <v/>
      </c>
      <c r="O538" s="40" t="n"/>
    </row>
    <row r="539" ht="15" customHeight="1" s="34">
      <c r="A539" s="48" t="n"/>
      <c r="B539" s="41">
        <f>IF(A539="","",TEXT(A539,"mmm"))</f>
        <v/>
      </c>
      <c r="C539" s="41" t="n"/>
      <c r="D539" s="42" t="n"/>
      <c r="E539" s="41" t="n"/>
      <c r="F539" s="41">
        <f>IFERROR(INDEX(销售员主数据!$B$2:$B$101,MATCH($E539,销售员主数据!$A$2:$A$101,0)),"")</f>
        <v/>
      </c>
      <c r="G539" s="41">
        <f>IFERROR(INDEX(销售员主数据!$C$2:$C$101,MATCH($E539,销售员主数据!$A$2:$A$101,0)),"")</f>
        <v/>
      </c>
      <c r="H539" s="41">
        <f>IFERROR(INDEX(销售员主数据!$D$2:$D$101,MATCH($E539,销售员主数据!$A$2:$A$101,0)),"")</f>
        <v/>
      </c>
      <c r="I539" s="43" t="n"/>
      <c r="J539" s="43" t="n"/>
      <c r="K539" s="44" t="n"/>
      <c r="L539" s="58" t="n"/>
      <c r="M539" s="59" t="n"/>
      <c r="N539" s="60">
        <f>IF(COUNTBLANK(A539:L539)=12,"",1)</f>
        <v/>
      </c>
      <c r="O539" s="42" t="n"/>
    </row>
    <row r="540" ht="15" customHeight="1" s="34">
      <c r="A540" s="46" t="n"/>
      <c r="B540" s="39">
        <f>IF(A540="","",TEXT(A540,"mmm"))</f>
        <v/>
      </c>
      <c r="C540" s="39" t="n"/>
      <c r="D540" s="40" t="n"/>
      <c r="E540" s="39" t="n"/>
      <c r="F540" s="39">
        <f>IFERROR(INDEX(销售员主数据!$B$2:$B$101,MATCH($E540,销售员主数据!$A$2:$A$101,0)),"")</f>
        <v/>
      </c>
      <c r="G540" s="39">
        <f>IFERROR(INDEX(销售员主数据!$C$2:$C$101,MATCH($E540,销售员主数据!$A$2:$A$101,0)),"")</f>
        <v/>
      </c>
      <c r="H540" s="39">
        <f>IFERROR(INDEX(销售员主数据!$D$2:$D$101,MATCH($E540,销售员主数据!$A$2:$A$101,0)),"")</f>
        <v/>
      </c>
      <c r="I540" s="50" t="n"/>
      <c r="J540" s="50" t="n"/>
      <c r="K540" s="54" t="n"/>
      <c r="L540" s="55" t="n"/>
      <c r="M540" s="56" t="n"/>
      <c r="N540" s="57">
        <f>IF(COUNTBLANK(A540:L540)=12,"",1)</f>
        <v/>
      </c>
      <c r="O540" s="40" t="n"/>
    </row>
    <row r="541" ht="15" customHeight="1" s="34">
      <c r="A541" s="48" t="n"/>
      <c r="B541" s="41">
        <f>IF(A541="","",TEXT(A541,"mmm"))</f>
        <v/>
      </c>
      <c r="C541" s="41" t="n"/>
      <c r="D541" s="42" t="n"/>
      <c r="E541" s="41" t="n"/>
      <c r="F541" s="41">
        <f>IFERROR(INDEX(销售员主数据!$B$2:$B$101,MATCH($E541,销售员主数据!$A$2:$A$101,0)),"")</f>
        <v/>
      </c>
      <c r="G541" s="41">
        <f>IFERROR(INDEX(销售员主数据!$C$2:$C$101,MATCH($E541,销售员主数据!$A$2:$A$101,0)),"")</f>
        <v/>
      </c>
      <c r="H541" s="41">
        <f>IFERROR(INDEX(销售员主数据!$D$2:$D$101,MATCH($E541,销售员主数据!$A$2:$A$101,0)),"")</f>
        <v/>
      </c>
      <c r="I541" s="43" t="n"/>
      <c r="J541" s="43" t="n"/>
      <c r="K541" s="44" t="n"/>
      <c r="L541" s="58" t="n"/>
      <c r="M541" s="59" t="n"/>
      <c r="N541" s="60">
        <f>IF(COUNTBLANK(A541:L541)=12,"",1)</f>
        <v/>
      </c>
      <c r="O541" s="42" t="n"/>
    </row>
    <row r="542" ht="15" customHeight="1" s="34">
      <c r="A542" s="46" t="n"/>
      <c r="B542" s="39">
        <f>IF(A542="","",TEXT(A542,"mmm"))</f>
        <v/>
      </c>
      <c r="C542" s="39" t="n"/>
      <c r="D542" s="40" t="n"/>
      <c r="E542" s="39" t="n"/>
      <c r="F542" s="39">
        <f>IFERROR(INDEX(销售员主数据!$B$2:$B$101,MATCH($E542,销售员主数据!$A$2:$A$101,0)),"")</f>
        <v/>
      </c>
      <c r="G542" s="39">
        <f>IFERROR(INDEX(销售员主数据!$C$2:$C$101,MATCH($E542,销售员主数据!$A$2:$A$101,0)),"")</f>
        <v/>
      </c>
      <c r="H542" s="39">
        <f>IFERROR(INDEX(销售员主数据!$D$2:$D$101,MATCH($E542,销售员主数据!$A$2:$A$101,0)),"")</f>
        <v/>
      </c>
      <c r="I542" s="50" t="n"/>
      <c r="J542" s="50" t="n"/>
      <c r="K542" s="54" t="n"/>
      <c r="L542" s="55" t="n"/>
      <c r="M542" s="56" t="n"/>
      <c r="N542" s="57">
        <f>IF(COUNTBLANK(A542:L542)=12,"",1)</f>
        <v/>
      </c>
      <c r="O542" s="40" t="n"/>
    </row>
    <row r="543" ht="15" customHeight="1" s="34">
      <c r="A543" s="48" t="n"/>
      <c r="B543" s="41">
        <f>IF(A543="","",TEXT(A543,"mmm"))</f>
        <v/>
      </c>
      <c r="C543" s="41" t="n"/>
      <c r="D543" s="42" t="n"/>
      <c r="E543" s="41" t="n"/>
      <c r="F543" s="41">
        <f>IFERROR(INDEX(销售员主数据!$B$2:$B$101,MATCH($E543,销售员主数据!$A$2:$A$101,0)),"")</f>
        <v/>
      </c>
      <c r="G543" s="41">
        <f>IFERROR(INDEX(销售员主数据!$C$2:$C$101,MATCH($E543,销售员主数据!$A$2:$A$101,0)),"")</f>
        <v/>
      </c>
      <c r="H543" s="41">
        <f>IFERROR(INDEX(销售员主数据!$D$2:$D$101,MATCH($E543,销售员主数据!$A$2:$A$101,0)),"")</f>
        <v/>
      </c>
      <c r="I543" s="43" t="n"/>
      <c r="J543" s="43" t="n"/>
      <c r="K543" s="44" t="n"/>
      <c r="L543" s="58" t="n"/>
      <c r="M543" s="59" t="n"/>
      <c r="N543" s="60">
        <f>IF(COUNTBLANK(A543:L543)=12,"",1)</f>
        <v/>
      </c>
      <c r="O543" s="42" t="n"/>
    </row>
    <row r="544" ht="15" customHeight="1" s="34">
      <c r="A544" s="46" t="n"/>
      <c r="B544" s="39">
        <f>IF(A544="","",TEXT(A544,"mmm"))</f>
        <v/>
      </c>
      <c r="C544" s="39" t="n"/>
      <c r="D544" s="40" t="n"/>
      <c r="E544" s="39" t="n"/>
      <c r="F544" s="39">
        <f>IFERROR(INDEX(销售员主数据!$B$2:$B$101,MATCH($E544,销售员主数据!$A$2:$A$101,0)),"")</f>
        <v/>
      </c>
      <c r="G544" s="39">
        <f>IFERROR(INDEX(销售员主数据!$C$2:$C$101,MATCH($E544,销售员主数据!$A$2:$A$101,0)),"")</f>
        <v/>
      </c>
      <c r="H544" s="39">
        <f>IFERROR(INDEX(销售员主数据!$D$2:$D$101,MATCH($E544,销售员主数据!$A$2:$A$101,0)),"")</f>
        <v/>
      </c>
      <c r="I544" s="50" t="n"/>
      <c r="J544" s="50" t="n"/>
      <c r="K544" s="54" t="n"/>
      <c r="L544" s="55" t="n"/>
      <c r="M544" s="56" t="n"/>
      <c r="N544" s="57">
        <f>IF(COUNTBLANK(A544:L544)=12,"",1)</f>
        <v/>
      </c>
      <c r="O544" s="40" t="n"/>
    </row>
    <row r="545" ht="15" customHeight="1" s="34">
      <c r="A545" s="48" t="n"/>
      <c r="B545" s="41">
        <f>IF(A545="","",TEXT(A545,"mmm"))</f>
        <v/>
      </c>
      <c r="C545" s="41" t="n"/>
      <c r="D545" s="42" t="n"/>
      <c r="E545" s="41" t="n"/>
      <c r="F545" s="41">
        <f>IFERROR(INDEX(销售员主数据!$B$2:$B$101,MATCH($E545,销售员主数据!$A$2:$A$101,0)),"")</f>
        <v/>
      </c>
      <c r="G545" s="41">
        <f>IFERROR(INDEX(销售员主数据!$C$2:$C$101,MATCH($E545,销售员主数据!$A$2:$A$101,0)),"")</f>
        <v/>
      </c>
      <c r="H545" s="41">
        <f>IFERROR(INDEX(销售员主数据!$D$2:$D$101,MATCH($E545,销售员主数据!$A$2:$A$101,0)),"")</f>
        <v/>
      </c>
      <c r="I545" s="43" t="n"/>
      <c r="J545" s="43" t="n"/>
      <c r="K545" s="44" t="n"/>
      <c r="L545" s="58" t="n"/>
      <c r="M545" s="59" t="n"/>
      <c r="N545" s="60">
        <f>IF(COUNTBLANK(A545:L545)=12,"",1)</f>
        <v/>
      </c>
      <c r="O545" s="42" t="n"/>
    </row>
    <row r="546" ht="15" customHeight="1" s="34">
      <c r="A546" s="46" t="n"/>
      <c r="B546" s="39">
        <f>IF(A546="","",TEXT(A546,"mmm"))</f>
        <v/>
      </c>
      <c r="C546" s="39" t="n"/>
      <c r="D546" s="40" t="n"/>
      <c r="E546" s="39" t="n"/>
      <c r="F546" s="39">
        <f>IFERROR(INDEX(销售员主数据!$B$2:$B$101,MATCH($E546,销售员主数据!$A$2:$A$101,0)),"")</f>
        <v/>
      </c>
      <c r="G546" s="39">
        <f>IFERROR(INDEX(销售员主数据!$C$2:$C$101,MATCH($E546,销售员主数据!$A$2:$A$101,0)),"")</f>
        <v/>
      </c>
      <c r="H546" s="39">
        <f>IFERROR(INDEX(销售员主数据!$D$2:$D$101,MATCH($E546,销售员主数据!$A$2:$A$101,0)),"")</f>
        <v/>
      </c>
      <c r="I546" s="50" t="n"/>
      <c r="J546" s="50" t="n"/>
      <c r="K546" s="54" t="n"/>
      <c r="L546" s="55" t="n"/>
      <c r="M546" s="56" t="n"/>
      <c r="N546" s="57">
        <f>IF(COUNTBLANK(A546:L546)=12,"",1)</f>
        <v/>
      </c>
      <c r="O546" s="40" t="n"/>
    </row>
    <row r="547" ht="15" customHeight="1" s="34">
      <c r="A547" s="48" t="n"/>
      <c r="B547" s="41">
        <f>IF(A547="","",TEXT(A547,"mmm"))</f>
        <v/>
      </c>
      <c r="C547" s="41" t="n"/>
      <c r="D547" s="42" t="n"/>
      <c r="E547" s="41" t="n"/>
      <c r="F547" s="41">
        <f>IFERROR(INDEX(销售员主数据!$B$2:$B$101,MATCH($E547,销售员主数据!$A$2:$A$101,0)),"")</f>
        <v/>
      </c>
      <c r="G547" s="41">
        <f>IFERROR(INDEX(销售员主数据!$C$2:$C$101,MATCH($E547,销售员主数据!$A$2:$A$101,0)),"")</f>
        <v/>
      </c>
      <c r="H547" s="41">
        <f>IFERROR(INDEX(销售员主数据!$D$2:$D$101,MATCH($E547,销售员主数据!$A$2:$A$101,0)),"")</f>
        <v/>
      </c>
      <c r="I547" s="43" t="n"/>
      <c r="J547" s="43" t="n"/>
      <c r="K547" s="44" t="n"/>
      <c r="L547" s="58" t="n"/>
      <c r="M547" s="59" t="n"/>
      <c r="N547" s="60">
        <f>IF(COUNTBLANK(A547:L547)=12,"",1)</f>
        <v/>
      </c>
      <c r="O547" s="42" t="n"/>
    </row>
    <row r="548" ht="15" customHeight="1" s="34">
      <c r="A548" s="46" t="n"/>
      <c r="B548" s="39">
        <f>IF(A548="","",TEXT(A548,"mmm"))</f>
        <v/>
      </c>
      <c r="C548" s="39" t="n"/>
      <c r="D548" s="40" t="n"/>
      <c r="E548" s="39" t="n"/>
      <c r="F548" s="39">
        <f>IFERROR(INDEX(销售员主数据!$B$2:$B$101,MATCH($E548,销售员主数据!$A$2:$A$101,0)),"")</f>
        <v/>
      </c>
      <c r="G548" s="39">
        <f>IFERROR(INDEX(销售员主数据!$C$2:$C$101,MATCH($E548,销售员主数据!$A$2:$A$101,0)),"")</f>
        <v/>
      </c>
      <c r="H548" s="39">
        <f>IFERROR(INDEX(销售员主数据!$D$2:$D$101,MATCH($E548,销售员主数据!$A$2:$A$101,0)),"")</f>
        <v/>
      </c>
      <c r="I548" s="50" t="n"/>
      <c r="J548" s="50" t="n"/>
      <c r="K548" s="54" t="n"/>
      <c r="L548" s="55" t="n"/>
      <c r="M548" s="56" t="n"/>
      <c r="N548" s="57">
        <f>IF(COUNTBLANK(A548:L548)=12,"",1)</f>
        <v/>
      </c>
      <c r="O548" s="40" t="n"/>
    </row>
    <row r="549" ht="15" customHeight="1" s="34">
      <c r="A549" s="48" t="n"/>
      <c r="B549" s="41">
        <f>IF(A549="","",TEXT(A549,"mmm"))</f>
        <v/>
      </c>
      <c r="C549" s="41" t="n"/>
      <c r="D549" s="42" t="n"/>
      <c r="E549" s="41" t="n"/>
      <c r="F549" s="41">
        <f>IFERROR(INDEX(销售员主数据!$B$2:$B$101,MATCH($E549,销售员主数据!$A$2:$A$101,0)),"")</f>
        <v/>
      </c>
      <c r="G549" s="41">
        <f>IFERROR(INDEX(销售员主数据!$C$2:$C$101,MATCH($E549,销售员主数据!$A$2:$A$101,0)),"")</f>
        <v/>
      </c>
      <c r="H549" s="41">
        <f>IFERROR(INDEX(销售员主数据!$D$2:$D$101,MATCH($E549,销售员主数据!$A$2:$A$101,0)),"")</f>
        <v/>
      </c>
      <c r="I549" s="43" t="n"/>
      <c r="J549" s="43" t="n"/>
      <c r="K549" s="44" t="n"/>
      <c r="L549" s="58" t="n"/>
      <c r="M549" s="59" t="n"/>
      <c r="N549" s="60">
        <f>IF(COUNTBLANK(A549:L549)=12,"",1)</f>
        <v/>
      </c>
      <c r="O549" s="42" t="n"/>
    </row>
    <row r="550" ht="15" customHeight="1" s="34">
      <c r="A550" s="46" t="n"/>
      <c r="B550" s="39">
        <f>IF(A550="","",TEXT(A550,"mmm"))</f>
        <v/>
      </c>
      <c r="C550" s="39" t="n"/>
      <c r="D550" s="40" t="n"/>
      <c r="E550" s="39" t="n"/>
      <c r="F550" s="39">
        <f>IFERROR(INDEX(销售员主数据!$B$2:$B$101,MATCH($E550,销售员主数据!$A$2:$A$101,0)),"")</f>
        <v/>
      </c>
      <c r="G550" s="39">
        <f>IFERROR(INDEX(销售员主数据!$C$2:$C$101,MATCH($E550,销售员主数据!$A$2:$A$101,0)),"")</f>
        <v/>
      </c>
      <c r="H550" s="39">
        <f>IFERROR(INDEX(销售员主数据!$D$2:$D$101,MATCH($E550,销售员主数据!$A$2:$A$101,0)),"")</f>
        <v/>
      </c>
      <c r="I550" s="50" t="n"/>
      <c r="J550" s="50" t="n"/>
      <c r="K550" s="54" t="n"/>
      <c r="L550" s="55" t="n"/>
      <c r="M550" s="56" t="n"/>
      <c r="N550" s="57">
        <f>IF(COUNTBLANK(A550:L550)=12,"",1)</f>
        <v/>
      </c>
      <c r="O550" s="40" t="n"/>
    </row>
    <row r="551" ht="15" customHeight="1" s="34">
      <c r="A551" s="48" t="n"/>
      <c r="B551" s="41">
        <f>IF(A551="","",TEXT(A551,"mmm"))</f>
        <v/>
      </c>
      <c r="C551" s="41" t="n"/>
      <c r="D551" s="42" t="n"/>
      <c r="E551" s="41" t="n"/>
      <c r="F551" s="41">
        <f>IFERROR(INDEX(销售员主数据!$B$2:$B$101,MATCH($E551,销售员主数据!$A$2:$A$101,0)),"")</f>
        <v/>
      </c>
      <c r="G551" s="41">
        <f>IFERROR(INDEX(销售员主数据!$C$2:$C$101,MATCH($E551,销售员主数据!$A$2:$A$101,0)),"")</f>
        <v/>
      </c>
      <c r="H551" s="41">
        <f>IFERROR(INDEX(销售员主数据!$D$2:$D$101,MATCH($E551,销售员主数据!$A$2:$A$101,0)),"")</f>
        <v/>
      </c>
      <c r="I551" s="43" t="n"/>
      <c r="J551" s="43" t="n"/>
      <c r="K551" s="44" t="n"/>
      <c r="L551" s="58" t="n"/>
      <c r="M551" s="59" t="n"/>
      <c r="N551" s="60">
        <f>IF(COUNTBLANK(A551:L551)=12,"",1)</f>
        <v/>
      </c>
      <c r="O551" s="42" t="n"/>
    </row>
    <row r="552" ht="15" customHeight="1" s="34">
      <c r="A552" s="46" t="n"/>
      <c r="B552" s="39">
        <f>IF(A552="","",TEXT(A552,"mmm"))</f>
        <v/>
      </c>
      <c r="C552" s="39" t="n"/>
      <c r="D552" s="40" t="n"/>
      <c r="E552" s="39" t="n"/>
      <c r="F552" s="39">
        <f>IFERROR(INDEX(销售员主数据!$B$2:$B$101,MATCH($E552,销售员主数据!$A$2:$A$101,0)),"")</f>
        <v/>
      </c>
      <c r="G552" s="39">
        <f>IFERROR(INDEX(销售员主数据!$C$2:$C$101,MATCH($E552,销售员主数据!$A$2:$A$101,0)),"")</f>
        <v/>
      </c>
      <c r="H552" s="39">
        <f>IFERROR(INDEX(销售员主数据!$D$2:$D$101,MATCH($E552,销售员主数据!$A$2:$A$101,0)),"")</f>
        <v/>
      </c>
      <c r="I552" s="50" t="n"/>
      <c r="J552" s="50" t="n"/>
      <c r="K552" s="54" t="n"/>
      <c r="L552" s="55" t="n"/>
      <c r="M552" s="56" t="n"/>
      <c r="N552" s="57">
        <f>IF(COUNTBLANK(A552:L552)=12,"",1)</f>
        <v/>
      </c>
      <c r="O552" s="40" t="n"/>
    </row>
    <row r="553" ht="15" customHeight="1" s="34">
      <c r="A553" s="48" t="n"/>
      <c r="B553" s="41">
        <f>IF(A553="","",TEXT(A553,"mmm"))</f>
        <v/>
      </c>
      <c r="C553" s="41" t="n"/>
      <c r="D553" s="42" t="n"/>
      <c r="E553" s="41" t="n"/>
      <c r="F553" s="41">
        <f>IFERROR(INDEX(销售员主数据!$B$2:$B$101,MATCH($E553,销售员主数据!$A$2:$A$101,0)),"")</f>
        <v/>
      </c>
      <c r="G553" s="41">
        <f>IFERROR(INDEX(销售员主数据!$C$2:$C$101,MATCH($E553,销售员主数据!$A$2:$A$101,0)),"")</f>
        <v/>
      </c>
      <c r="H553" s="41">
        <f>IFERROR(INDEX(销售员主数据!$D$2:$D$101,MATCH($E553,销售员主数据!$A$2:$A$101,0)),"")</f>
        <v/>
      </c>
      <c r="I553" s="43" t="n"/>
      <c r="J553" s="43" t="n"/>
      <c r="K553" s="44" t="n"/>
      <c r="L553" s="58" t="n"/>
      <c r="M553" s="59" t="n"/>
      <c r="N553" s="60">
        <f>IF(COUNTBLANK(A553:L553)=12,"",1)</f>
        <v/>
      </c>
      <c r="O553" s="42" t="n"/>
    </row>
    <row r="554" ht="15" customHeight="1" s="34">
      <c r="A554" s="46" t="n"/>
      <c r="B554" s="39">
        <f>IF(A554="","",TEXT(A554,"mmm"))</f>
        <v/>
      </c>
      <c r="C554" s="39" t="n"/>
      <c r="D554" s="40" t="n"/>
      <c r="E554" s="39" t="n"/>
      <c r="F554" s="39">
        <f>IFERROR(INDEX(销售员主数据!$B$2:$B$101,MATCH($E554,销售员主数据!$A$2:$A$101,0)),"")</f>
        <v/>
      </c>
      <c r="G554" s="39">
        <f>IFERROR(INDEX(销售员主数据!$C$2:$C$101,MATCH($E554,销售员主数据!$A$2:$A$101,0)),"")</f>
        <v/>
      </c>
      <c r="H554" s="39">
        <f>IFERROR(INDEX(销售员主数据!$D$2:$D$101,MATCH($E554,销售员主数据!$A$2:$A$101,0)),"")</f>
        <v/>
      </c>
      <c r="I554" s="50" t="n"/>
      <c r="J554" s="50" t="n"/>
      <c r="K554" s="54" t="n"/>
      <c r="L554" s="55" t="n"/>
      <c r="M554" s="56" t="n"/>
      <c r="N554" s="57">
        <f>IF(COUNTBLANK(A554:L554)=12,"",1)</f>
        <v/>
      </c>
      <c r="O554" s="40" t="n"/>
    </row>
    <row r="555" ht="15" customHeight="1" s="34">
      <c r="A555" s="48" t="n"/>
      <c r="B555" s="41">
        <f>IF(A555="","",TEXT(A555,"mmm"))</f>
        <v/>
      </c>
      <c r="C555" s="41" t="n"/>
      <c r="D555" s="42" t="n"/>
      <c r="E555" s="41" t="n"/>
      <c r="F555" s="41">
        <f>IFERROR(INDEX(销售员主数据!$B$2:$B$101,MATCH($E555,销售员主数据!$A$2:$A$101,0)),"")</f>
        <v/>
      </c>
      <c r="G555" s="41">
        <f>IFERROR(INDEX(销售员主数据!$C$2:$C$101,MATCH($E555,销售员主数据!$A$2:$A$101,0)),"")</f>
        <v/>
      </c>
      <c r="H555" s="41">
        <f>IFERROR(INDEX(销售员主数据!$D$2:$D$101,MATCH($E555,销售员主数据!$A$2:$A$101,0)),"")</f>
        <v/>
      </c>
      <c r="I555" s="43" t="n"/>
      <c r="J555" s="43" t="n"/>
      <c r="K555" s="44" t="n"/>
      <c r="L555" s="58" t="n"/>
      <c r="M555" s="59" t="n"/>
      <c r="N555" s="60">
        <f>IF(COUNTBLANK(A555:L555)=12,"",1)</f>
        <v/>
      </c>
      <c r="O555" s="42" t="n"/>
    </row>
    <row r="556" ht="15" customHeight="1" s="34">
      <c r="A556" s="46" t="n"/>
      <c r="B556" s="39">
        <f>IF(A556="","",TEXT(A556,"mmm"))</f>
        <v/>
      </c>
      <c r="C556" s="39" t="n"/>
      <c r="D556" s="40" t="n"/>
      <c r="E556" s="39" t="n"/>
      <c r="F556" s="39">
        <f>IFERROR(INDEX(销售员主数据!$B$2:$B$101,MATCH($E556,销售员主数据!$A$2:$A$101,0)),"")</f>
        <v/>
      </c>
      <c r="G556" s="39">
        <f>IFERROR(INDEX(销售员主数据!$C$2:$C$101,MATCH($E556,销售员主数据!$A$2:$A$101,0)),"")</f>
        <v/>
      </c>
      <c r="H556" s="39">
        <f>IFERROR(INDEX(销售员主数据!$D$2:$D$101,MATCH($E556,销售员主数据!$A$2:$A$101,0)),"")</f>
        <v/>
      </c>
      <c r="I556" s="50" t="n"/>
      <c r="J556" s="50" t="n"/>
      <c r="K556" s="54" t="n"/>
      <c r="L556" s="55" t="n"/>
      <c r="M556" s="56" t="n"/>
      <c r="N556" s="57">
        <f>IF(COUNTBLANK(A556:L556)=12,"",1)</f>
        <v/>
      </c>
      <c r="O556" s="40" t="n"/>
    </row>
    <row r="557" ht="15" customHeight="1" s="34">
      <c r="A557" s="48" t="n"/>
      <c r="B557" s="41">
        <f>IF(A557="","",TEXT(A557,"mmm"))</f>
        <v/>
      </c>
      <c r="C557" s="41" t="n"/>
      <c r="D557" s="42" t="n"/>
      <c r="E557" s="41" t="n"/>
      <c r="F557" s="41">
        <f>IFERROR(INDEX(销售员主数据!$B$2:$B$101,MATCH($E557,销售员主数据!$A$2:$A$101,0)),"")</f>
        <v/>
      </c>
      <c r="G557" s="41">
        <f>IFERROR(INDEX(销售员主数据!$C$2:$C$101,MATCH($E557,销售员主数据!$A$2:$A$101,0)),"")</f>
        <v/>
      </c>
      <c r="H557" s="41">
        <f>IFERROR(INDEX(销售员主数据!$D$2:$D$101,MATCH($E557,销售员主数据!$A$2:$A$101,0)),"")</f>
        <v/>
      </c>
      <c r="I557" s="43" t="n"/>
      <c r="J557" s="43" t="n"/>
      <c r="K557" s="44" t="n"/>
      <c r="L557" s="58" t="n"/>
      <c r="M557" s="59" t="n"/>
      <c r="N557" s="60">
        <f>IF(COUNTBLANK(A557:L557)=12,"",1)</f>
        <v/>
      </c>
      <c r="O557" s="42" t="n"/>
    </row>
    <row r="558" ht="15" customHeight="1" s="34">
      <c r="A558" s="46" t="n"/>
      <c r="B558" s="39">
        <f>IF(A558="","",TEXT(A558,"mmm"))</f>
        <v/>
      </c>
      <c r="C558" s="39" t="n"/>
      <c r="D558" s="40" t="n"/>
      <c r="E558" s="39" t="n"/>
      <c r="F558" s="39">
        <f>IFERROR(INDEX(销售员主数据!$B$2:$B$101,MATCH($E558,销售员主数据!$A$2:$A$101,0)),"")</f>
        <v/>
      </c>
      <c r="G558" s="39">
        <f>IFERROR(INDEX(销售员主数据!$C$2:$C$101,MATCH($E558,销售员主数据!$A$2:$A$101,0)),"")</f>
        <v/>
      </c>
      <c r="H558" s="39">
        <f>IFERROR(INDEX(销售员主数据!$D$2:$D$101,MATCH($E558,销售员主数据!$A$2:$A$101,0)),"")</f>
        <v/>
      </c>
      <c r="I558" s="50" t="n"/>
      <c r="J558" s="50" t="n"/>
      <c r="K558" s="54" t="n"/>
      <c r="L558" s="55" t="n"/>
      <c r="M558" s="56" t="n"/>
      <c r="N558" s="57">
        <f>IF(COUNTBLANK(A558:L558)=12,"",1)</f>
        <v/>
      </c>
      <c r="O558" s="40" t="n"/>
    </row>
    <row r="559" ht="15" customHeight="1" s="34">
      <c r="A559" s="48" t="n"/>
      <c r="B559" s="41">
        <f>IF(A559="","",TEXT(A559,"mmm"))</f>
        <v/>
      </c>
      <c r="C559" s="41" t="n"/>
      <c r="D559" s="42" t="n"/>
      <c r="E559" s="41" t="n"/>
      <c r="F559" s="41">
        <f>IFERROR(INDEX(销售员主数据!$B$2:$B$101,MATCH($E559,销售员主数据!$A$2:$A$101,0)),"")</f>
        <v/>
      </c>
      <c r="G559" s="41">
        <f>IFERROR(INDEX(销售员主数据!$C$2:$C$101,MATCH($E559,销售员主数据!$A$2:$A$101,0)),"")</f>
        <v/>
      </c>
      <c r="H559" s="41">
        <f>IFERROR(INDEX(销售员主数据!$D$2:$D$101,MATCH($E559,销售员主数据!$A$2:$A$101,0)),"")</f>
        <v/>
      </c>
      <c r="I559" s="43" t="n"/>
      <c r="J559" s="43" t="n"/>
      <c r="K559" s="44" t="n"/>
      <c r="L559" s="58" t="n"/>
      <c r="M559" s="59" t="n"/>
      <c r="N559" s="60">
        <f>IF(COUNTBLANK(A559:L559)=12,"",1)</f>
        <v/>
      </c>
      <c r="O559" s="42" t="n"/>
    </row>
    <row r="560" ht="15" customHeight="1" s="34">
      <c r="A560" s="46" t="n"/>
      <c r="B560" s="39">
        <f>IF(A560="","",TEXT(A560,"mmm"))</f>
        <v/>
      </c>
      <c r="C560" s="39" t="n"/>
      <c r="D560" s="40" t="n"/>
      <c r="E560" s="39" t="n"/>
      <c r="F560" s="39">
        <f>IFERROR(INDEX(销售员主数据!$B$2:$B$101,MATCH($E560,销售员主数据!$A$2:$A$101,0)),"")</f>
        <v/>
      </c>
      <c r="G560" s="39">
        <f>IFERROR(INDEX(销售员主数据!$C$2:$C$101,MATCH($E560,销售员主数据!$A$2:$A$101,0)),"")</f>
        <v/>
      </c>
      <c r="H560" s="39">
        <f>IFERROR(INDEX(销售员主数据!$D$2:$D$101,MATCH($E560,销售员主数据!$A$2:$A$101,0)),"")</f>
        <v/>
      </c>
      <c r="I560" s="50" t="n"/>
      <c r="J560" s="50" t="n"/>
      <c r="K560" s="54" t="n"/>
      <c r="L560" s="55" t="n"/>
      <c r="M560" s="56" t="n"/>
      <c r="N560" s="57">
        <f>IF(COUNTBLANK(A560:L560)=12,"",1)</f>
        <v/>
      </c>
      <c r="O560" s="40" t="n"/>
    </row>
    <row r="561" ht="15" customHeight="1" s="34">
      <c r="A561" s="48" t="n"/>
      <c r="B561" s="41">
        <f>IF(A561="","",TEXT(A561,"mmm"))</f>
        <v/>
      </c>
      <c r="C561" s="41" t="n"/>
      <c r="D561" s="42" t="n"/>
      <c r="E561" s="41" t="n"/>
      <c r="F561" s="41">
        <f>IFERROR(INDEX(销售员主数据!$B$2:$B$101,MATCH($E561,销售员主数据!$A$2:$A$101,0)),"")</f>
        <v/>
      </c>
      <c r="G561" s="41">
        <f>IFERROR(INDEX(销售员主数据!$C$2:$C$101,MATCH($E561,销售员主数据!$A$2:$A$101,0)),"")</f>
        <v/>
      </c>
      <c r="H561" s="41">
        <f>IFERROR(INDEX(销售员主数据!$D$2:$D$101,MATCH($E561,销售员主数据!$A$2:$A$101,0)),"")</f>
        <v/>
      </c>
      <c r="I561" s="43" t="n"/>
      <c r="J561" s="43" t="n"/>
      <c r="K561" s="44" t="n"/>
      <c r="L561" s="58" t="n"/>
      <c r="M561" s="59" t="n"/>
      <c r="N561" s="60">
        <f>IF(COUNTBLANK(A561:L561)=12,"",1)</f>
        <v/>
      </c>
      <c r="O561" s="42" t="n"/>
    </row>
    <row r="562" ht="15" customHeight="1" s="34">
      <c r="A562" s="46" t="n"/>
      <c r="B562" s="39">
        <f>IF(A562="","",TEXT(A562,"mmm"))</f>
        <v/>
      </c>
      <c r="C562" s="39" t="n"/>
      <c r="D562" s="40" t="n"/>
      <c r="E562" s="39" t="n"/>
      <c r="F562" s="39">
        <f>IFERROR(INDEX(销售员主数据!$B$2:$B$101,MATCH($E562,销售员主数据!$A$2:$A$101,0)),"")</f>
        <v/>
      </c>
      <c r="G562" s="39">
        <f>IFERROR(INDEX(销售员主数据!$C$2:$C$101,MATCH($E562,销售员主数据!$A$2:$A$101,0)),"")</f>
        <v/>
      </c>
      <c r="H562" s="39">
        <f>IFERROR(INDEX(销售员主数据!$D$2:$D$101,MATCH($E562,销售员主数据!$A$2:$A$101,0)),"")</f>
        <v/>
      </c>
      <c r="I562" s="50" t="n"/>
      <c r="J562" s="50" t="n"/>
      <c r="K562" s="54" t="n"/>
      <c r="L562" s="55" t="n"/>
      <c r="M562" s="56" t="n"/>
      <c r="N562" s="57">
        <f>IF(COUNTBLANK(A562:L562)=12,"",1)</f>
        <v/>
      </c>
      <c r="O562" s="40" t="n"/>
    </row>
    <row r="563" ht="15" customHeight="1" s="34">
      <c r="A563" s="48" t="n"/>
      <c r="B563" s="41">
        <f>IF(A563="","",TEXT(A563,"mmm"))</f>
        <v/>
      </c>
      <c r="C563" s="41" t="n"/>
      <c r="D563" s="42" t="n"/>
      <c r="E563" s="41" t="n"/>
      <c r="F563" s="41">
        <f>IFERROR(INDEX(销售员主数据!$B$2:$B$101,MATCH($E563,销售员主数据!$A$2:$A$101,0)),"")</f>
        <v/>
      </c>
      <c r="G563" s="41">
        <f>IFERROR(INDEX(销售员主数据!$C$2:$C$101,MATCH($E563,销售员主数据!$A$2:$A$101,0)),"")</f>
        <v/>
      </c>
      <c r="H563" s="41">
        <f>IFERROR(INDEX(销售员主数据!$D$2:$D$101,MATCH($E563,销售员主数据!$A$2:$A$101,0)),"")</f>
        <v/>
      </c>
      <c r="I563" s="43" t="n"/>
      <c r="J563" s="43" t="n"/>
      <c r="K563" s="44" t="n"/>
      <c r="L563" s="58" t="n"/>
      <c r="M563" s="59" t="n"/>
      <c r="N563" s="60">
        <f>IF(COUNTBLANK(A563:L563)=12,"",1)</f>
        <v/>
      </c>
      <c r="O563" s="42" t="n"/>
    </row>
    <row r="564" ht="15" customHeight="1" s="34">
      <c r="A564" s="46" t="n"/>
      <c r="B564" s="39">
        <f>IF(A564="","",TEXT(A564,"mmm"))</f>
        <v/>
      </c>
      <c r="C564" s="39" t="n"/>
      <c r="D564" s="40" t="n"/>
      <c r="E564" s="39" t="n"/>
      <c r="F564" s="39">
        <f>IFERROR(INDEX(销售员主数据!$B$2:$B$101,MATCH($E564,销售员主数据!$A$2:$A$101,0)),"")</f>
        <v/>
      </c>
      <c r="G564" s="39">
        <f>IFERROR(INDEX(销售员主数据!$C$2:$C$101,MATCH($E564,销售员主数据!$A$2:$A$101,0)),"")</f>
        <v/>
      </c>
      <c r="H564" s="39">
        <f>IFERROR(INDEX(销售员主数据!$D$2:$D$101,MATCH($E564,销售员主数据!$A$2:$A$101,0)),"")</f>
        <v/>
      </c>
      <c r="I564" s="50" t="n"/>
      <c r="J564" s="50" t="n"/>
      <c r="K564" s="54" t="n"/>
      <c r="L564" s="55" t="n"/>
      <c r="M564" s="56" t="n"/>
      <c r="N564" s="57">
        <f>IF(COUNTBLANK(A564:L564)=12,"",1)</f>
        <v/>
      </c>
      <c r="O564" s="40" t="n"/>
    </row>
    <row r="565" ht="15" customHeight="1" s="34">
      <c r="A565" s="48" t="n"/>
      <c r="B565" s="41">
        <f>IF(A565="","",TEXT(A565,"mmm"))</f>
        <v/>
      </c>
      <c r="C565" s="41" t="n"/>
      <c r="D565" s="42" t="n"/>
      <c r="E565" s="41" t="n"/>
      <c r="F565" s="41">
        <f>IFERROR(INDEX(销售员主数据!$B$2:$B$101,MATCH($E565,销售员主数据!$A$2:$A$101,0)),"")</f>
        <v/>
      </c>
      <c r="G565" s="41">
        <f>IFERROR(INDEX(销售员主数据!$C$2:$C$101,MATCH($E565,销售员主数据!$A$2:$A$101,0)),"")</f>
        <v/>
      </c>
      <c r="H565" s="41">
        <f>IFERROR(INDEX(销售员主数据!$D$2:$D$101,MATCH($E565,销售员主数据!$A$2:$A$101,0)),"")</f>
        <v/>
      </c>
      <c r="I565" s="43" t="n"/>
      <c r="J565" s="43" t="n"/>
      <c r="K565" s="44" t="n"/>
      <c r="L565" s="58" t="n"/>
      <c r="M565" s="59" t="n"/>
      <c r="N565" s="60">
        <f>IF(COUNTBLANK(A565:L565)=12,"",1)</f>
        <v/>
      </c>
      <c r="O565" s="42" t="n"/>
    </row>
    <row r="566" ht="15" customHeight="1" s="34">
      <c r="A566" s="46" t="n"/>
      <c r="B566" s="39">
        <f>IF(A566="","",TEXT(A566,"mmm"))</f>
        <v/>
      </c>
      <c r="C566" s="39" t="n"/>
      <c r="D566" s="40" t="n"/>
      <c r="E566" s="39" t="n"/>
      <c r="F566" s="39">
        <f>IFERROR(INDEX(销售员主数据!$B$2:$B$101,MATCH($E566,销售员主数据!$A$2:$A$101,0)),"")</f>
        <v/>
      </c>
      <c r="G566" s="39">
        <f>IFERROR(INDEX(销售员主数据!$C$2:$C$101,MATCH($E566,销售员主数据!$A$2:$A$101,0)),"")</f>
        <v/>
      </c>
      <c r="H566" s="39">
        <f>IFERROR(INDEX(销售员主数据!$D$2:$D$101,MATCH($E566,销售员主数据!$A$2:$A$101,0)),"")</f>
        <v/>
      </c>
      <c r="I566" s="50" t="n"/>
      <c r="J566" s="50" t="n"/>
      <c r="K566" s="54" t="n"/>
      <c r="L566" s="55" t="n"/>
      <c r="M566" s="56" t="n"/>
      <c r="N566" s="57">
        <f>IF(COUNTBLANK(A566:L566)=12,"",1)</f>
        <v/>
      </c>
      <c r="O566" s="40" t="n"/>
    </row>
    <row r="567" ht="15" customHeight="1" s="34">
      <c r="A567" s="48" t="n"/>
      <c r="B567" s="41">
        <f>IF(A567="","",TEXT(A567,"mmm"))</f>
        <v/>
      </c>
      <c r="C567" s="41" t="n"/>
      <c r="D567" s="42" t="n"/>
      <c r="E567" s="41" t="n"/>
      <c r="F567" s="41">
        <f>IFERROR(INDEX(销售员主数据!$B$2:$B$101,MATCH($E567,销售员主数据!$A$2:$A$101,0)),"")</f>
        <v/>
      </c>
      <c r="G567" s="41">
        <f>IFERROR(INDEX(销售员主数据!$C$2:$C$101,MATCH($E567,销售员主数据!$A$2:$A$101,0)),"")</f>
        <v/>
      </c>
      <c r="H567" s="41">
        <f>IFERROR(INDEX(销售员主数据!$D$2:$D$101,MATCH($E567,销售员主数据!$A$2:$A$101,0)),"")</f>
        <v/>
      </c>
      <c r="I567" s="43" t="n"/>
      <c r="J567" s="43" t="n"/>
      <c r="K567" s="44" t="n"/>
      <c r="L567" s="58" t="n"/>
      <c r="M567" s="59" t="n"/>
      <c r="N567" s="60">
        <f>IF(COUNTBLANK(A567:L567)=12,"",1)</f>
        <v/>
      </c>
      <c r="O567" s="42" t="n"/>
    </row>
    <row r="568" ht="15" customHeight="1" s="34">
      <c r="A568" s="46" t="n"/>
      <c r="B568" s="39">
        <f>IF(A568="","",TEXT(A568,"mmm"))</f>
        <v/>
      </c>
      <c r="C568" s="39" t="n"/>
      <c r="D568" s="40" t="n"/>
      <c r="E568" s="39" t="n"/>
      <c r="F568" s="39">
        <f>IFERROR(INDEX(销售员主数据!$B$2:$B$101,MATCH($E568,销售员主数据!$A$2:$A$101,0)),"")</f>
        <v/>
      </c>
      <c r="G568" s="39">
        <f>IFERROR(INDEX(销售员主数据!$C$2:$C$101,MATCH($E568,销售员主数据!$A$2:$A$101,0)),"")</f>
        <v/>
      </c>
      <c r="H568" s="39">
        <f>IFERROR(INDEX(销售员主数据!$D$2:$D$101,MATCH($E568,销售员主数据!$A$2:$A$101,0)),"")</f>
        <v/>
      </c>
      <c r="I568" s="50" t="n"/>
      <c r="J568" s="50" t="n"/>
      <c r="K568" s="54" t="n"/>
      <c r="L568" s="55" t="n"/>
      <c r="M568" s="56" t="n"/>
      <c r="N568" s="57">
        <f>IF(COUNTBLANK(A568:L568)=12,"",1)</f>
        <v/>
      </c>
      <c r="O568" s="40" t="n"/>
    </row>
    <row r="569" ht="15" customHeight="1" s="34">
      <c r="A569" s="48" t="n"/>
      <c r="B569" s="41">
        <f>IF(A569="","",TEXT(A569,"mmm"))</f>
        <v/>
      </c>
      <c r="C569" s="41" t="n"/>
      <c r="D569" s="42" t="n"/>
      <c r="E569" s="41" t="n"/>
      <c r="F569" s="41">
        <f>IFERROR(INDEX(销售员主数据!$B$2:$B$101,MATCH($E569,销售员主数据!$A$2:$A$101,0)),"")</f>
        <v/>
      </c>
      <c r="G569" s="41">
        <f>IFERROR(INDEX(销售员主数据!$C$2:$C$101,MATCH($E569,销售员主数据!$A$2:$A$101,0)),"")</f>
        <v/>
      </c>
      <c r="H569" s="41">
        <f>IFERROR(INDEX(销售员主数据!$D$2:$D$101,MATCH($E569,销售员主数据!$A$2:$A$101,0)),"")</f>
        <v/>
      </c>
      <c r="I569" s="43" t="n"/>
      <c r="J569" s="43" t="n"/>
      <c r="K569" s="44" t="n"/>
      <c r="L569" s="58" t="n"/>
      <c r="M569" s="59" t="n"/>
      <c r="N569" s="60">
        <f>IF(COUNTBLANK(A569:L569)=12,"",1)</f>
        <v/>
      </c>
      <c r="O569" s="42" t="n"/>
    </row>
    <row r="570" ht="15" customHeight="1" s="34">
      <c r="A570" s="46" t="n"/>
      <c r="B570" s="39">
        <f>IF(A570="","",TEXT(A570,"mmm"))</f>
        <v/>
      </c>
      <c r="C570" s="39" t="n"/>
      <c r="D570" s="40" t="n"/>
      <c r="E570" s="39" t="n"/>
      <c r="F570" s="39">
        <f>IFERROR(INDEX(销售员主数据!$B$2:$B$101,MATCH($E570,销售员主数据!$A$2:$A$101,0)),"")</f>
        <v/>
      </c>
      <c r="G570" s="39">
        <f>IFERROR(INDEX(销售员主数据!$C$2:$C$101,MATCH($E570,销售员主数据!$A$2:$A$101,0)),"")</f>
        <v/>
      </c>
      <c r="H570" s="39">
        <f>IFERROR(INDEX(销售员主数据!$D$2:$D$101,MATCH($E570,销售员主数据!$A$2:$A$101,0)),"")</f>
        <v/>
      </c>
      <c r="I570" s="50" t="n"/>
      <c r="J570" s="50" t="n"/>
      <c r="K570" s="54" t="n"/>
      <c r="L570" s="55" t="n"/>
      <c r="M570" s="56" t="n"/>
      <c r="N570" s="57">
        <f>IF(COUNTBLANK(A570:L570)=12,"",1)</f>
        <v/>
      </c>
      <c r="O570" s="40" t="n"/>
    </row>
    <row r="571" ht="15" customHeight="1" s="34">
      <c r="A571" s="48" t="n"/>
      <c r="B571" s="41">
        <f>IF(A571="","",TEXT(A571,"mmm"))</f>
        <v/>
      </c>
      <c r="C571" s="41" t="n"/>
      <c r="D571" s="42" t="n"/>
      <c r="E571" s="41" t="n"/>
      <c r="F571" s="41">
        <f>IFERROR(INDEX(销售员主数据!$B$2:$B$101,MATCH($E571,销售员主数据!$A$2:$A$101,0)),"")</f>
        <v/>
      </c>
      <c r="G571" s="41">
        <f>IFERROR(INDEX(销售员主数据!$C$2:$C$101,MATCH($E571,销售员主数据!$A$2:$A$101,0)),"")</f>
        <v/>
      </c>
      <c r="H571" s="41">
        <f>IFERROR(INDEX(销售员主数据!$D$2:$D$101,MATCH($E571,销售员主数据!$A$2:$A$101,0)),"")</f>
        <v/>
      </c>
      <c r="I571" s="43" t="n"/>
      <c r="J571" s="43" t="n"/>
      <c r="K571" s="44" t="n"/>
      <c r="L571" s="58" t="n"/>
      <c r="M571" s="59" t="n"/>
      <c r="N571" s="60">
        <f>IF(COUNTBLANK(A571:L571)=12,"",1)</f>
        <v/>
      </c>
      <c r="O571" s="42" t="n"/>
    </row>
    <row r="572" ht="15" customHeight="1" s="34">
      <c r="A572" s="46" t="n"/>
      <c r="B572" s="39">
        <f>IF(A572="","",TEXT(A572,"mmm"))</f>
        <v/>
      </c>
      <c r="C572" s="39" t="n"/>
      <c r="D572" s="40" t="n"/>
      <c r="E572" s="39" t="n"/>
      <c r="F572" s="39">
        <f>IFERROR(INDEX(销售员主数据!$B$2:$B$101,MATCH($E572,销售员主数据!$A$2:$A$101,0)),"")</f>
        <v/>
      </c>
      <c r="G572" s="39">
        <f>IFERROR(INDEX(销售员主数据!$C$2:$C$101,MATCH($E572,销售员主数据!$A$2:$A$101,0)),"")</f>
        <v/>
      </c>
      <c r="H572" s="39">
        <f>IFERROR(INDEX(销售员主数据!$D$2:$D$101,MATCH($E572,销售员主数据!$A$2:$A$101,0)),"")</f>
        <v/>
      </c>
      <c r="I572" s="50" t="n"/>
      <c r="J572" s="50" t="n"/>
      <c r="K572" s="54" t="n"/>
      <c r="L572" s="55" t="n"/>
      <c r="M572" s="56" t="n"/>
      <c r="N572" s="57">
        <f>IF(COUNTBLANK(A572:L572)=12,"",1)</f>
        <v/>
      </c>
      <c r="O572" s="40" t="n"/>
    </row>
    <row r="573" ht="15" customHeight="1" s="34">
      <c r="A573" s="48" t="n"/>
      <c r="B573" s="41">
        <f>IF(A573="","",TEXT(A573,"mmm"))</f>
        <v/>
      </c>
      <c r="C573" s="41" t="n"/>
      <c r="D573" s="42" t="n"/>
      <c r="E573" s="41" t="n"/>
      <c r="F573" s="41">
        <f>IFERROR(INDEX(销售员主数据!$B$2:$B$101,MATCH($E573,销售员主数据!$A$2:$A$101,0)),"")</f>
        <v/>
      </c>
      <c r="G573" s="41">
        <f>IFERROR(INDEX(销售员主数据!$C$2:$C$101,MATCH($E573,销售员主数据!$A$2:$A$101,0)),"")</f>
        <v/>
      </c>
      <c r="H573" s="41">
        <f>IFERROR(INDEX(销售员主数据!$D$2:$D$101,MATCH($E573,销售员主数据!$A$2:$A$101,0)),"")</f>
        <v/>
      </c>
      <c r="I573" s="43" t="n"/>
      <c r="J573" s="43" t="n"/>
      <c r="K573" s="44" t="n"/>
      <c r="L573" s="58" t="n"/>
      <c r="M573" s="59" t="n"/>
      <c r="N573" s="60">
        <f>IF(COUNTBLANK(A573:L573)=12,"",1)</f>
        <v/>
      </c>
      <c r="O573" s="42" t="n"/>
    </row>
    <row r="574" ht="15" customHeight="1" s="34">
      <c r="A574" s="46" t="n"/>
      <c r="B574" s="39">
        <f>IF(A574="","",TEXT(A574,"mmm"))</f>
        <v/>
      </c>
      <c r="C574" s="39" t="n"/>
      <c r="D574" s="40" t="n"/>
      <c r="E574" s="39" t="n"/>
      <c r="F574" s="39">
        <f>IFERROR(INDEX(销售员主数据!$B$2:$B$101,MATCH($E574,销售员主数据!$A$2:$A$101,0)),"")</f>
        <v/>
      </c>
      <c r="G574" s="39">
        <f>IFERROR(INDEX(销售员主数据!$C$2:$C$101,MATCH($E574,销售员主数据!$A$2:$A$101,0)),"")</f>
        <v/>
      </c>
      <c r="H574" s="39">
        <f>IFERROR(INDEX(销售员主数据!$D$2:$D$101,MATCH($E574,销售员主数据!$A$2:$A$101,0)),"")</f>
        <v/>
      </c>
      <c r="I574" s="50" t="n"/>
      <c r="J574" s="50" t="n"/>
      <c r="K574" s="54" t="n"/>
      <c r="L574" s="55" t="n"/>
      <c r="M574" s="56" t="n"/>
      <c r="N574" s="57">
        <f>IF(COUNTBLANK(A574:L574)=12,"",1)</f>
        <v/>
      </c>
      <c r="O574" s="40" t="n"/>
    </row>
    <row r="575" ht="15" customHeight="1" s="34">
      <c r="A575" s="48" t="n"/>
      <c r="B575" s="41">
        <f>IF(A575="","",TEXT(A575,"mmm"))</f>
        <v/>
      </c>
      <c r="C575" s="41" t="n"/>
      <c r="D575" s="42" t="n"/>
      <c r="E575" s="41" t="n"/>
      <c r="F575" s="41">
        <f>IFERROR(INDEX(销售员主数据!$B$2:$B$101,MATCH($E575,销售员主数据!$A$2:$A$101,0)),"")</f>
        <v/>
      </c>
      <c r="G575" s="41">
        <f>IFERROR(INDEX(销售员主数据!$C$2:$C$101,MATCH($E575,销售员主数据!$A$2:$A$101,0)),"")</f>
        <v/>
      </c>
      <c r="H575" s="41">
        <f>IFERROR(INDEX(销售员主数据!$D$2:$D$101,MATCH($E575,销售员主数据!$A$2:$A$101,0)),"")</f>
        <v/>
      </c>
      <c r="I575" s="43" t="n"/>
      <c r="J575" s="43" t="n"/>
      <c r="K575" s="44" t="n"/>
      <c r="L575" s="58" t="n"/>
      <c r="M575" s="59" t="n"/>
      <c r="N575" s="60">
        <f>IF(COUNTBLANK(A575:L575)=12,"",1)</f>
        <v/>
      </c>
      <c r="O575" s="42" t="n"/>
    </row>
    <row r="576" ht="15" customHeight="1" s="34">
      <c r="A576" s="46" t="n"/>
      <c r="B576" s="39">
        <f>IF(A576="","",TEXT(A576,"mmm"))</f>
        <v/>
      </c>
      <c r="C576" s="39" t="n"/>
      <c r="D576" s="40" t="n"/>
      <c r="E576" s="39" t="n"/>
      <c r="F576" s="39">
        <f>IFERROR(INDEX(销售员主数据!$B$2:$B$101,MATCH($E576,销售员主数据!$A$2:$A$101,0)),"")</f>
        <v/>
      </c>
      <c r="G576" s="39">
        <f>IFERROR(INDEX(销售员主数据!$C$2:$C$101,MATCH($E576,销售员主数据!$A$2:$A$101,0)),"")</f>
        <v/>
      </c>
      <c r="H576" s="39">
        <f>IFERROR(INDEX(销售员主数据!$D$2:$D$101,MATCH($E576,销售员主数据!$A$2:$A$101,0)),"")</f>
        <v/>
      </c>
      <c r="I576" s="50" t="n"/>
      <c r="J576" s="50" t="n"/>
      <c r="K576" s="54" t="n"/>
      <c r="L576" s="55" t="n"/>
      <c r="M576" s="56" t="n"/>
      <c r="N576" s="57">
        <f>IF(COUNTBLANK(A576:L576)=12,"",1)</f>
        <v/>
      </c>
      <c r="O576" s="40" t="n"/>
    </row>
    <row r="577" ht="15" customHeight="1" s="34">
      <c r="A577" s="48" t="n"/>
      <c r="B577" s="41">
        <f>IF(A577="","",TEXT(A577,"mmm"))</f>
        <v/>
      </c>
      <c r="C577" s="41" t="n"/>
      <c r="D577" s="42" t="n"/>
      <c r="E577" s="41" t="n"/>
      <c r="F577" s="41">
        <f>IFERROR(INDEX(销售员主数据!$B$2:$B$101,MATCH($E577,销售员主数据!$A$2:$A$101,0)),"")</f>
        <v/>
      </c>
      <c r="G577" s="41">
        <f>IFERROR(INDEX(销售员主数据!$C$2:$C$101,MATCH($E577,销售员主数据!$A$2:$A$101,0)),"")</f>
        <v/>
      </c>
      <c r="H577" s="41">
        <f>IFERROR(INDEX(销售员主数据!$D$2:$D$101,MATCH($E577,销售员主数据!$A$2:$A$101,0)),"")</f>
        <v/>
      </c>
      <c r="I577" s="43" t="n"/>
      <c r="J577" s="43" t="n"/>
      <c r="K577" s="44" t="n"/>
      <c r="L577" s="58" t="n"/>
      <c r="M577" s="59" t="n"/>
      <c r="N577" s="60">
        <f>IF(COUNTBLANK(A577:L577)=12,"",1)</f>
        <v/>
      </c>
      <c r="O577" s="42" t="n"/>
    </row>
    <row r="578" ht="15" customHeight="1" s="34">
      <c r="A578" s="46" t="n"/>
      <c r="B578" s="39">
        <f>IF(A578="","",TEXT(A578,"mmm"))</f>
        <v/>
      </c>
      <c r="C578" s="39" t="n"/>
      <c r="D578" s="40" t="n"/>
      <c r="E578" s="39" t="n"/>
      <c r="F578" s="39">
        <f>IFERROR(INDEX(销售员主数据!$B$2:$B$101,MATCH($E578,销售员主数据!$A$2:$A$101,0)),"")</f>
        <v/>
      </c>
      <c r="G578" s="39">
        <f>IFERROR(INDEX(销售员主数据!$C$2:$C$101,MATCH($E578,销售员主数据!$A$2:$A$101,0)),"")</f>
        <v/>
      </c>
      <c r="H578" s="39">
        <f>IFERROR(INDEX(销售员主数据!$D$2:$D$101,MATCH($E578,销售员主数据!$A$2:$A$101,0)),"")</f>
        <v/>
      </c>
      <c r="I578" s="50" t="n"/>
      <c r="J578" s="50" t="n"/>
      <c r="K578" s="54" t="n"/>
      <c r="L578" s="55" t="n"/>
      <c r="M578" s="56" t="n"/>
      <c r="N578" s="57">
        <f>IF(COUNTBLANK(A578:L578)=12,"",1)</f>
        <v/>
      </c>
      <c r="O578" s="40" t="n"/>
    </row>
    <row r="579" ht="15" customHeight="1" s="34">
      <c r="A579" s="48" t="n"/>
      <c r="B579" s="41">
        <f>IF(A579="","",TEXT(A579,"mmm"))</f>
        <v/>
      </c>
      <c r="C579" s="41" t="n"/>
      <c r="D579" s="42" t="n"/>
      <c r="E579" s="41" t="n"/>
      <c r="F579" s="41">
        <f>IFERROR(INDEX(销售员主数据!$B$2:$B$101,MATCH($E579,销售员主数据!$A$2:$A$101,0)),"")</f>
        <v/>
      </c>
      <c r="G579" s="41">
        <f>IFERROR(INDEX(销售员主数据!$C$2:$C$101,MATCH($E579,销售员主数据!$A$2:$A$101,0)),"")</f>
        <v/>
      </c>
      <c r="H579" s="41">
        <f>IFERROR(INDEX(销售员主数据!$D$2:$D$101,MATCH($E579,销售员主数据!$A$2:$A$101,0)),"")</f>
        <v/>
      </c>
      <c r="I579" s="43" t="n"/>
      <c r="J579" s="43" t="n"/>
      <c r="K579" s="44" t="n"/>
      <c r="L579" s="58" t="n"/>
      <c r="M579" s="59" t="n"/>
      <c r="N579" s="60">
        <f>IF(COUNTBLANK(A579:L579)=12,"",1)</f>
        <v/>
      </c>
      <c r="O579" s="42" t="n"/>
    </row>
    <row r="580" ht="15" customHeight="1" s="34">
      <c r="A580" s="46" t="n"/>
      <c r="B580" s="39">
        <f>IF(A580="","",TEXT(A580,"mmm"))</f>
        <v/>
      </c>
      <c r="C580" s="39" t="n"/>
      <c r="D580" s="40" t="n"/>
      <c r="E580" s="39" t="n"/>
      <c r="F580" s="39">
        <f>IFERROR(INDEX(销售员主数据!$B$2:$B$101,MATCH($E580,销售员主数据!$A$2:$A$101,0)),"")</f>
        <v/>
      </c>
      <c r="G580" s="39">
        <f>IFERROR(INDEX(销售员主数据!$C$2:$C$101,MATCH($E580,销售员主数据!$A$2:$A$101,0)),"")</f>
        <v/>
      </c>
      <c r="H580" s="39">
        <f>IFERROR(INDEX(销售员主数据!$D$2:$D$101,MATCH($E580,销售员主数据!$A$2:$A$101,0)),"")</f>
        <v/>
      </c>
      <c r="I580" s="50" t="n"/>
      <c r="J580" s="50" t="n"/>
      <c r="K580" s="54" t="n"/>
      <c r="L580" s="55" t="n"/>
      <c r="M580" s="56" t="n"/>
      <c r="N580" s="57">
        <f>IF(COUNTBLANK(A580:L580)=12,"",1)</f>
        <v/>
      </c>
      <c r="O580" s="40" t="n"/>
    </row>
    <row r="581" ht="15" customHeight="1" s="34">
      <c r="A581" s="48" t="n"/>
      <c r="B581" s="41">
        <f>IF(A581="","",TEXT(A581,"mmm"))</f>
        <v/>
      </c>
      <c r="C581" s="41" t="n"/>
      <c r="D581" s="42" t="n"/>
      <c r="E581" s="41" t="n"/>
      <c r="F581" s="41">
        <f>IFERROR(INDEX(销售员主数据!$B$2:$B$101,MATCH($E581,销售员主数据!$A$2:$A$101,0)),"")</f>
        <v/>
      </c>
      <c r="G581" s="41">
        <f>IFERROR(INDEX(销售员主数据!$C$2:$C$101,MATCH($E581,销售员主数据!$A$2:$A$101,0)),"")</f>
        <v/>
      </c>
      <c r="H581" s="41">
        <f>IFERROR(INDEX(销售员主数据!$D$2:$D$101,MATCH($E581,销售员主数据!$A$2:$A$101,0)),"")</f>
        <v/>
      </c>
      <c r="I581" s="43" t="n"/>
      <c r="J581" s="43" t="n"/>
      <c r="K581" s="44" t="n"/>
      <c r="L581" s="58" t="n"/>
      <c r="M581" s="59" t="n"/>
      <c r="N581" s="60">
        <f>IF(COUNTBLANK(A581:L581)=12,"",1)</f>
        <v/>
      </c>
      <c r="O581" s="42" t="n"/>
    </row>
    <row r="582" ht="15" customHeight="1" s="34">
      <c r="A582" s="46" t="n"/>
      <c r="B582" s="39">
        <f>IF(A582="","",TEXT(A582,"mmm"))</f>
        <v/>
      </c>
      <c r="C582" s="39" t="n"/>
      <c r="D582" s="40" t="n"/>
      <c r="E582" s="39" t="n"/>
      <c r="F582" s="39">
        <f>IFERROR(INDEX(销售员主数据!$B$2:$B$101,MATCH($E582,销售员主数据!$A$2:$A$101,0)),"")</f>
        <v/>
      </c>
      <c r="G582" s="39">
        <f>IFERROR(INDEX(销售员主数据!$C$2:$C$101,MATCH($E582,销售员主数据!$A$2:$A$101,0)),"")</f>
        <v/>
      </c>
      <c r="H582" s="39">
        <f>IFERROR(INDEX(销售员主数据!$D$2:$D$101,MATCH($E582,销售员主数据!$A$2:$A$101,0)),"")</f>
        <v/>
      </c>
      <c r="I582" s="50" t="n"/>
      <c r="J582" s="50" t="n"/>
      <c r="K582" s="54" t="n"/>
      <c r="L582" s="55" t="n"/>
      <c r="M582" s="56" t="n"/>
      <c r="N582" s="57">
        <f>IF(COUNTBLANK(A582:L582)=12,"",1)</f>
        <v/>
      </c>
      <c r="O582" s="40" t="n"/>
    </row>
    <row r="583" ht="15" customHeight="1" s="34">
      <c r="A583" s="48" t="n"/>
      <c r="B583" s="41">
        <f>IF(A583="","",TEXT(A583,"mmm"))</f>
        <v/>
      </c>
      <c r="C583" s="41" t="n"/>
      <c r="D583" s="42" t="n"/>
      <c r="E583" s="41" t="n"/>
      <c r="F583" s="41">
        <f>IFERROR(INDEX(销售员主数据!$B$2:$B$101,MATCH($E583,销售员主数据!$A$2:$A$101,0)),"")</f>
        <v/>
      </c>
      <c r="G583" s="41">
        <f>IFERROR(INDEX(销售员主数据!$C$2:$C$101,MATCH($E583,销售员主数据!$A$2:$A$101,0)),"")</f>
        <v/>
      </c>
      <c r="H583" s="41">
        <f>IFERROR(INDEX(销售员主数据!$D$2:$D$101,MATCH($E583,销售员主数据!$A$2:$A$101,0)),"")</f>
        <v/>
      </c>
      <c r="I583" s="43" t="n"/>
      <c r="J583" s="43" t="n"/>
      <c r="K583" s="44" t="n"/>
      <c r="L583" s="58" t="n"/>
      <c r="M583" s="59" t="n"/>
      <c r="N583" s="60">
        <f>IF(COUNTBLANK(A583:L583)=12,"",1)</f>
        <v/>
      </c>
      <c r="O583" s="42" t="n"/>
    </row>
    <row r="584" ht="15" customHeight="1" s="34">
      <c r="A584" s="46" t="n"/>
      <c r="B584" s="39">
        <f>IF(A584="","",TEXT(A584,"mmm"))</f>
        <v/>
      </c>
      <c r="C584" s="39" t="n"/>
      <c r="D584" s="40" t="n"/>
      <c r="E584" s="39" t="n"/>
      <c r="F584" s="39">
        <f>IFERROR(INDEX(销售员主数据!$B$2:$B$101,MATCH($E584,销售员主数据!$A$2:$A$101,0)),"")</f>
        <v/>
      </c>
      <c r="G584" s="39">
        <f>IFERROR(INDEX(销售员主数据!$C$2:$C$101,MATCH($E584,销售员主数据!$A$2:$A$101,0)),"")</f>
        <v/>
      </c>
      <c r="H584" s="39">
        <f>IFERROR(INDEX(销售员主数据!$D$2:$D$101,MATCH($E584,销售员主数据!$A$2:$A$101,0)),"")</f>
        <v/>
      </c>
      <c r="I584" s="50" t="n"/>
      <c r="J584" s="50" t="n"/>
      <c r="K584" s="54" t="n"/>
      <c r="L584" s="55" t="n"/>
      <c r="M584" s="56" t="n"/>
      <c r="N584" s="57">
        <f>IF(COUNTBLANK(A584:L584)=12,"",1)</f>
        <v/>
      </c>
      <c r="O584" s="40" t="n"/>
    </row>
    <row r="585" ht="15" customHeight="1" s="34">
      <c r="A585" s="48" t="n"/>
      <c r="B585" s="41">
        <f>IF(A585="","",TEXT(A585,"mmm"))</f>
        <v/>
      </c>
      <c r="C585" s="41" t="n"/>
      <c r="D585" s="42" t="n"/>
      <c r="E585" s="41" t="n"/>
      <c r="F585" s="41">
        <f>IFERROR(INDEX(销售员主数据!$B$2:$B$101,MATCH($E585,销售员主数据!$A$2:$A$101,0)),"")</f>
        <v/>
      </c>
      <c r="G585" s="41">
        <f>IFERROR(INDEX(销售员主数据!$C$2:$C$101,MATCH($E585,销售员主数据!$A$2:$A$101,0)),"")</f>
        <v/>
      </c>
      <c r="H585" s="41">
        <f>IFERROR(INDEX(销售员主数据!$D$2:$D$101,MATCH($E585,销售员主数据!$A$2:$A$101,0)),"")</f>
        <v/>
      </c>
      <c r="I585" s="43" t="n"/>
      <c r="J585" s="43" t="n"/>
      <c r="K585" s="44" t="n"/>
      <c r="L585" s="58" t="n"/>
      <c r="M585" s="59" t="n"/>
      <c r="N585" s="60">
        <f>IF(COUNTBLANK(A585:L585)=12,"",1)</f>
        <v/>
      </c>
      <c r="O585" s="42" t="n"/>
    </row>
    <row r="586" ht="15" customHeight="1" s="34">
      <c r="A586" s="46" t="n"/>
      <c r="B586" s="39">
        <f>IF(A586="","",TEXT(A586,"mmm"))</f>
        <v/>
      </c>
      <c r="C586" s="39" t="n"/>
      <c r="D586" s="40" t="n"/>
      <c r="E586" s="39" t="n"/>
      <c r="F586" s="39">
        <f>IFERROR(INDEX(销售员主数据!$B$2:$B$101,MATCH($E586,销售员主数据!$A$2:$A$101,0)),"")</f>
        <v/>
      </c>
      <c r="G586" s="39">
        <f>IFERROR(INDEX(销售员主数据!$C$2:$C$101,MATCH($E586,销售员主数据!$A$2:$A$101,0)),"")</f>
        <v/>
      </c>
      <c r="H586" s="39">
        <f>IFERROR(INDEX(销售员主数据!$D$2:$D$101,MATCH($E586,销售员主数据!$A$2:$A$101,0)),"")</f>
        <v/>
      </c>
      <c r="I586" s="50" t="n"/>
      <c r="J586" s="50" t="n"/>
      <c r="K586" s="54" t="n"/>
      <c r="L586" s="55" t="n"/>
      <c r="M586" s="56" t="n"/>
      <c r="N586" s="57">
        <f>IF(COUNTBLANK(A586:L586)=12,"",1)</f>
        <v/>
      </c>
      <c r="O586" s="40" t="n"/>
    </row>
    <row r="587" ht="15" customHeight="1" s="34">
      <c r="A587" s="48" t="n"/>
      <c r="B587" s="41">
        <f>IF(A587="","",TEXT(A587,"mmm"))</f>
        <v/>
      </c>
      <c r="C587" s="41" t="n"/>
      <c r="D587" s="42" t="n"/>
      <c r="E587" s="41" t="n"/>
      <c r="F587" s="41">
        <f>IFERROR(INDEX(销售员主数据!$B$2:$B$101,MATCH($E587,销售员主数据!$A$2:$A$101,0)),"")</f>
        <v/>
      </c>
      <c r="G587" s="41">
        <f>IFERROR(INDEX(销售员主数据!$C$2:$C$101,MATCH($E587,销售员主数据!$A$2:$A$101,0)),"")</f>
        <v/>
      </c>
      <c r="H587" s="41">
        <f>IFERROR(INDEX(销售员主数据!$D$2:$D$101,MATCH($E587,销售员主数据!$A$2:$A$101,0)),"")</f>
        <v/>
      </c>
      <c r="I587" s="43" t="n"/>
      <c r="J587" s="43" t="n"/>
      <c r="K587" s="44" t="n"/>
      <c r="L587" s="58" t="n"/>
      <c r="M587" s="59" t="n"/>
      <c r="N587" s="60">
        <f>IF(COUNTBLANK(A587:L587)=12,"",1)</f>
        <v/>
      </c>
      <c r="O587" s="42" t="n"/>
    </row>
    <row r="588" ht="15" customHeight="1" s="34">
      <c r="A588" s="46" t="n"/>
      <c r="B588" s="39">
        <f>IF(A588="","",TEXT(A588,"mmm"))</f>
        <v/>
      </c>
      <c r="C588" s="39" t="n"/>
      <c r="D588" s="40" t="n"/>
      <c r="E588" s="39" t="n"/>
      <c r="F588" s="39">
        <f>IFERROR(INDEX(销售员主数据!$B$2:$B$101,MATCH($E588,销售员主数据!$A$2:$A$101,0)),"")</f>
        <v/>
      </c>
      <c r="G588" s="39">
        <f>IFERROR(INDEX(销售员主数据!$C$2:$C$101,MATCH($E588,销售员主数据!$A$2:$A$101,0)),"")</f>
        <v/>
      </c>
      <c r="H588" s="39">
        <f>IFERROR(INDEX(销售员主数据!$D$2:$D$101,MATCH($E588,销售员主数据!$A$2:$A$101,0)),"")</f>
        <v/>
      </c>
      <c r="I588" s="50" t="n"/>
      <c r="J588" s="50" t="n"/>
      <c r="K588" s="54" t="n"/>
      <c r="L588" s="55" t="n"/>
      <c r="M588" s="56" t="n"/>
      <c r="N588" s="57">
        <f>IF(COUNTBLANK(A588:L588)=12,"",1)</f>
        <v/>
      </c>
      <c r="O588" s="40" t="n"/>
    </row>
    <row r="589" ht="15" customHeight="1" s="34">
      <c r="A589" s="48" t="n"/>
      <c r="B589" s="41">
        <f>IF(A589="","",TEXT(A589,"mmm"))</f>
        <v/>
      </c>
      <c r="C589" s="41" t="n"/>
      <c r="D589" s="42" t="n"/>
      <c r="E589" s="41" t="n"/>
      <c r="F589" s="41">
        <f>IFERROR(INDEX(销售员主数据!$B$2:$B$101,MATCH($E589,销售员主数据!$A$2:$A$101,0)),"")</f>
        <v/>
      </c>
      <c r="G589" s="41">
        <f>IFERROR(INDEX(销售员主数据!$C$2:$C$101,MATCH($E589,销售员主数据!$A$2:$A$101,0)),"")</f>
        <v/>
      </c>
      <c r="H589" s="41">
        <f>IFERROR(INDEX(销售员主数据!$D$2:$D$101,MATCH($E589,销售员主数据!$A$2:$A$101,0)),"")</f>
        <v/>
      </c>
      <c r="I589" s="43" t="n"/>
      <c r="J589" s="43" t="n"/>
      <c r="K589" s="44" t="n"/>
      <c r="L589" s="58" t="n"/>
      <c r="M589" s="59" t="n"/>
      <c r="N589" s="60">
        <f>IF(COUNTBLANK(A589:L589)=12,"",1)</f>
        <v/>
      </c>
      <c r="O589" s="42" t="n"/>
    </row>
    <row r="590" ht="15" customHeight="1" s="34">
      <c r="A590" s="46" t="n"/>
      <c r="B590" s="39">
        <f>IF(A590="","",TEXT(A590,"mmm"))</f>
        <v/>
      </c>
      <c r="C590" s="39" t="n"/>
      <c r="D590" s="40" t="n"/>
      <c r="E590" s="39" t="n"/>
      <c r="F590" s="39">
        <f>IFERROR(INDEX(销售员主数据!$B$2:$B$101,MATCH($E590,销售员主数据!$A$2:$A$101,0)),"")</f>
        <v/>
      </c>
      <c r="G590" s="39">
        <f>IFERROR(INDEX(销售员主数据!$C$2:$C$101,MATCH($E590,销售员主数据!$A$2:$A$101,0)),"")</f>
        <v/>
      </c>
      <c r="H590" s="39">
        <f>IFERROR(INDEX(销售员主数据!$D$2:$D$101,MATCH($E590,销售员主数据!$A$2:$A$101,0)),"")</f>
        <v/>
      </c>
      <c r="I590" s="50" t="n"/>
      <c r="J590" s="50" t="n"/>
      <c r="K590" s="54" t="n"/>
      <c r="L590" s="55" t="n"/>
      <c r="M590" s="56" t="n"/>
      <c r="N590" s="57">
        <f>IF(COUNTBLANK(A590:L590)=12,"",1)</f>
        <v/>
      </c>
      <c r="O590" s="40" t="n"/>
    </row>
    <row r="591" ht="15" customHeight="1" s="34">
      <c r="A591" s="48" t="n"/>
      <c r="B591" s="41">
        <f>IF(A591="","",TEXT(A591,"mmm"))</f>
        <v/>
      </c>
      <c r="C591" s="41" t="n"/>
      <c r="D591" s="42" t="n"/>
      <c r="E591" s="41" t="n"/>
      <c r="F591" s="41">
        <f>IFERROR(INDEX(销售员主数据!$B$2:$B$101,MATCH($E591,销售员主数据!$A$2:$A$101,0)),"")</f>
        <v/>
      </c>
      <c r="G591" s="41">
        <f>IFERROR(INDEX(销售员主数据!$C$2:$C$101,MATCH($E591,销售员主数据!$A$2:$A$101,0)),"")</f>
        <v/>
      </c>
      <c r="H591" s="41">
        <f>IFERROR(INDEX(销售员主数据!$D$2:$D$101,MATCH($E591,销售员主数据!$A$2:$A$101,0)),"")</f>
        <v/>
      </c>
      <c r="I591" s="43" t="n"/>
      <c r="J591" s="43" t="n"/>
      <c r="K591" s="44" t="n"/>
      <c r="L591" s="58" t="n"/>
      <c r="M591" s="59" t="n"/>
      <c r="N591" s="60">
        <f>IF(COUNTBLANK(A591:L591)=12,"",1)</f>
        <v/>
      </c>
      <c r="O591" s="42" t="n"/>
    </row>
    <row r="592" ht="15" customHeight="1" s="34">
      <c r="A592" s="46" t="n"/>
      <c r="B592" s="39">
        <f>IF(A592="","",TEXT(A592,"mmm"))</f>
        <v/>
      </c>
      <c r="C592" s="39" t="n"/>
      <c r="D592" s="40" t="n"/>
      <c r="E592" s="39" t="n"/>
      <c r="F592" s="39">
        <f>IFERROR(INDEX(销售员主数据!$B$2:$B$101,MATCH($E592,销售员主数据!$A$2:$A$101,0)),"")</f>
        <v/>
      </c>
      <c r="G592" s="39">
        <f>IFERROR(INDEX(销售员主数据!$C$2:$C$101,MATCH($E592,销售员主数据!$A$2:$A$101,0)),"")</f>
        <v/>
      </c>
      <c r="H592" s="39">
        <f>IFERROR(INDEX(销售员主数据!$D$2:$D$101,MATCH($E592,销售员主数据!$A$2:$A$101,0)),"")</f>
        <v/>
      </c>
      <c r="I592" s="50" t="n"/>
      <c r="J592" s="50" t="n"/>
      <c r="K592" s="54" t="n"/>
      <c r="L592" s="55" t="n"/>
      <c r="M592" s="56" t="n"/>
      <c r="N592" s="57">
        <f>IF(COUNTBLANK(A592:L592)=12,"",1)</f>
        <v/>
      </c>
      <c r="O592" s="40" t="n"/>
    </row>
    <row r="593" ht="15" customHeight="1" s="34">
      <c r="A593" s="48" t="n"/>
      <c r="B593" s="41">
        <f>IF(A593="","",TEXT(A593,"mmm"))</f>
        <v/>
      </c>
      <c r="C593" s="41" t="n"/>
      <c r="D593" s="42" t="n"/>
      <c r="E593" s="41" t="n"/>
      <c r="F593" s="41">
        <f>IFERROR(INDEX(销售员主数据!$B$2:$B$101,MATCH($E593,销售员主数据!$A$2:$A$101,0)),"")</f>
        <v/>
      </c>
      <c r="G593" s="41">
        <f>IFERROR(INDEX(销售员主数据!$C$2:$C$101,MATCH($E593,销售员主数据!$A$2:$A$101,0)),"")</f>
        <v/>
      </c>
      <c r="H593" s="41">
        <f>IFERROR(INDEX(销售员主数据!$D$2:$D$101,MATCH($E593,销售员主数据!$A$2:$A$101,0)),"")</f>
        <v/>
      </c>
      <c r="I593" s="43" t="n"/>
      <c r="J593" s="43" t="n"/>
      <c r="K593" s="44" t="n"/>
      <c r="L593" s="58" t="n"/>
      <c r="M593" s="59" t="n"/>
      <c r="N593" s="60">
        <f>IF(COUNTBLANK(A593:L593)=12,"",1)</f>
        <v/>
      </c>
      <c r="O593" s="42" t="n"/>
    </row>
    <row r="594" ht="15" customHeight="1" s="34">
      <c r="A594" s="46" t="n"/>
      <c r="B594" s="39">
        <f>IF(A594="","",TEXT(A594,"mmm"))</f>
        <v/>
      </c>
      <c r="C594" s="39" t="n"/>
      <c r="D594" s="40" t="n"/>
      <c r="E594" s="39" t="n"/>
      <c r="F594" s="39">
        <f>IFERROR(INDEX(销售员主数据!$B$2:$B$101,MATCH($E594,销售员主数据!$A$2:$A$101,0)),"")</f>
        <v/>
      </c>
      <c r="G594" s="39">
        <f>IFERROR(INDEX(销售员主数据!$C$2:$C$101,MATCH($E594,销售员主数据!$A$2:$A$101,0)),"")</f>
        <v/>
      </c>
      <c r="H594" s="39">
        <f>IFERROR(INDEX(销售员主数据!$D$2:$D$101,MATCH($E594,销售员主数据!$A$2:$A$101,0)),"")</f>
        <v/>
      </c>
      <c r="I594" s="50" t="n"/>
      <c r="J594" s="50" t="n"/>
      <c r="K594" s="54" t="n"/>
      <c r="L594" s="55" t="n"/>
      <c r="M594" s="56" t="n"/>
      <c r="N594" s="57">
        <f>IF(COUNTBLANK(A594:L594)=12,"",1)</f>
        <v/>
      </c>
      <c r="O594" s="40" t="n"/>
    </row>
    <row r="595" ht="15" customHeight="1" s="34">
      <c r="A595" s="48" t="n"/>
      <c r="B595" s="41">
        <f>IF(A595="","",TEXT(A595,"mmm"))</f>
        <v/>
      </c>
      <c r="C595" s="41" t="n"/>
      <c r="D595" s="42" t="n"/>
      <c r="E595" s="41" t="n"/>
      <c r="F595" s="41">
        <f>IFERROR(INDEX(销售员主数据!$B$2:$B$101,MATCH($E595,销售员主数据!$A$2:$A$101,0)),"")</f>
        <v/>
      </c>
      <c r="G595" s="41">
        <f>IFERROR(INDEX(销售员主数据!$C$2:$C$101,MATCH($E595,销售员主数据!$A$2:$A$101,0)),"")</f>
        <v/>
      </c>
      <c r="H595" s="41">
        <f>IFERROR(INDEX(销售员主数据!$D$2:$D$101,MATCH($E595,销售员主数据!$A$2:$A$101,0)),"")</f>
        <v/>
      </c>
      <c r="I595" s="43" t="n"/>
      <c r="J595" s="43" t="n"/>
      <c r="K595" s="44" t="n"/>
      <c r="L595" s="58" t="n"/>
      <c r="M595" s="59" t="n"/>
      <c r="N595" s="60">
        <f>IF(COUNTBLANK(A595:L595)=12,"",1)</f>
        <v/>
      </c>
      <c r="O595" s="42" t="n"/>
    </row>
    <row r="596" ht="15" customHeight="1" s="34">
      <c r="A596" s="46" t="n"/>
      <c r="B596" s="39">
        <f>IF(A596="","",TEXT(A596,"mmm"))</f>
        <v/>
      </c>
      <c r="C596" s="39" t="n"/>
      <c r="D596" s="40" t="n"/>
      <c r="E596" s="39" t="n"/>
      <c r="F596" s="39">
        <f>IFERROR(INDEX(销售员主数据!$B$2:$B$101,MATCH($E596,销售员主数据!$A$2:$A$101,0)),"")</f>
        <v/>
      </c>
      <c r="G596" s="39">
        <f>IFERROR(INDEX(销售员主数据!$C$2:$C$101,MATCH($E596,销售员主数据!$A$2:$A$101,0)),"")</f>
        <v/>
      </c>
      <c r="H596" s="39">
        <f>IFERROR(INDEX(销售员主数据!$D$2:$D$101,MATCH($E596,销售员主数据!$A$2:$A$101,0)),"")</f>
        <v/>
      </c>
      <c r="I596" s="50" t="n"/>
      <c r="J596" s="50" t="n"/>
      <c r="K596" s="54" t="n"/>
      <c r="L596" s="55" t="n"/>
      <c r="M596" s="56" t="n"/>
      <c r="N596" s="57">
        <f>IF(COUNTBLANK(A596:L596)=12,"",1)</f>
        <v/>
      </c>
      <c r="O596" s="40" t="n"/>
    </row>
    <row r="597" ht="15" customHeight="1" s="34">
      <c r="A597" s="48" t="n"/>
      <c r="B597" s="41">
        <f>IF(A597="","",TEXT(A597,"mmm"))</f>
        <v/>
      </c>
      <c r="C597" s="41" t="n"/>
      <c r="D597" s="42" t="n"/>
      <c r="E597" s="41" t="n"/>
      <c r="F597" s="41">
        <f>IFERROR(INDEX(销售员主数据!$B$2:$B$101,MATCH($E597,销售员主数据!$A$2:$A$101,0)),"")</f>
        <v/>
      </c>
      <c r="G597" s="41">
        <f>IFERROR(INDEX(销售员主数据!$C$2:$C$101,MATCH($E597,销售员主数据!$A$2:$A$101,0)),"")</f>
        <v/>
      </c>
      <c r="H597" s="41">
        <f>IFERROR(INDEX(销售员主数据!$D$2:$D$101,MATCH($E597,销售员主数据!$A$2:$A$101,0)),"")</f>
        <v/>
      </c>
      <c r="I597" s="43" t="n"/>
      <c r="J597" s="43" t="n"/>
      <c r="K597" s="44" t="n"/>
      <c r="L597" s="58" t="n"/>
      <c r="M597" s="59" t="n"/>
      <c r="N597" s="60">
        <f>IF(COUNTBLANK(A597:L597)=12,"",1)</f>
        <v/>
      </c>
      <c r="O597" s="42" t="n"/>
    </row>
    <row r="598" ht="15" customHeight="1" s="34">
      <c r="A598" s="46" t="n"/>
      <c r="B598" s="39">
        <f>IF(A598="","",TEXT(A598,"mmm"))</f>
        <v/>
      </c>
      <c r="C598" s="39" t="n"/>
      <c r="D598" s="40" t="n"/>
      <c r="E598" s="39" t="n"/>
      <c r="F598" s="39">
        <f>IFERROR(INDEX(销售员主数据!$B$2:$B$101,MATCH($E598,销售员主数据!$A$2:$A$101,0)),"")</f>
        <v/>
      </c>
      <c r="G598" s="39">
        <f>IFERROR(INDEX(销售员主数据!$C$2:$C$101,MATCH($E598,销售员主数据!$A$2:$A$101,0)),"")</f>
        <v/>
      </c>
      <c r="H598" s="39">
        <f>IFERROR(INDEX(销售员主数据!$D$2:$D$101,MATCH($E598,销售员主数据!$A$2:$A$101,0)),"")</f>
        <v/>
      </c>
      <c r="I598" s="50" t="n"/>
      <c r="J598" s="50" t="n"/>
      <c r="K598" s="54" t="n"/>
      <c r="L598" s="55" t="n"/>
      <c r="M598" s="56" t="n"/>
      <c r="N598" s="57">
        <f>IF(COUNTBLANK(A598:L598)=12,"",1)</f>
        <v/>
      </c>
      <c r="O598" s="40" t="n"/>
    </row>
    <row r="599" ht="15" customHeight="1" s="34">
      <c r="A599" s="48" t="n"/>
      <c r="B599" s="41">
        <f>IF(A599="","",TEXT(A599,"mmm"))</f>
        <v/>
      </c>
      <c r="C599" s="41" t="n"/>
      <c r="D599" s="42" t="n"/>
      <c r="E599" s="41" t="n"/>
      <c r="F599" s="41">
        <f>IFERROR(INDEX(销售员主数据!$B$2:$B$101,MATCH($E599,销售员主数据!$A$2:$A$101,0)),"")</f>
        <v/>
      </c>
      <c r="G599" s="41">
        <f>IFERROR(INDEX(销售员主数据!$C$2:$C$101,MATCH($E599,销售员主数据!$A$2:$A$101,0)),"")</f>
        <v/>
      </c>
      <c r="H599" s="41">
        <f>IFERROR(INDEX(销售员主数据!$D$2:$D$101,MATCH($E599,销售员主数据!$A$2:$A$101,0)),"")</f>
        <v/>
      </c>
      <c r="I599" s="43" t="n"/>
      <c r="J599" s="43" t="n"/>
      <c r="K599" s="44" t="n"/>
      <c r="L599" s="58" t="n"/>
      <c r="M599" s="59" t="n"/>
      <c r="N599" s="60">
        <f>IF(COUNTBLANK(A599:L599)=12,"",1)</f>
        <v/>
      </c>
      <c r="O599" s="42" t="n"/>
    </row>
    <row r="600" ht="15" customHeight="1" s="34">
      <c r="A600" s="46" t="n"/>
      <c r="B600" s="39">
        <f>IF(A600="","",TEXT(A600,"mmm"))</f>
        <v/>
      </c>
      <c r="C600" s="39" t="n"/>
      <c r="D600" s="40" t="n"/>
      <c r="E600" s="39" t="n"/>
      <c r="F600" s="39">
        <f>IFERROR(INDEX(销售员主数据!$B$2:$B$101,MATCH($E600,销售员主数据!$A$2:$A$101,0)),"")</f>
        <v/>
      </c>
      <c r="G600" s="39">
        <f>IFERROR(INDEX(销售员主数据!$C$2:$C$101,MATCH($E600,销售员主数据!$A$2:$A$101,0)),"")</f>
        <v/>
      </c>
      <c r="H600" s="39">
        <f>IFERROR(INDEX(销售员主数据!$D$2:$D$101,MATCH($E600,销售员主数据!$A$2:$A$101,0)),"")</f>
        <v/>
      </c>
      <c r="I600" s="50" t="n"/>
      <c r="J600" s="50" t="n"/>
      <c r="K600" s="54" t="n"/>
      <c r="L600" s="55" t="n"/>
      <c r="M600" s="56" t="n"/>
      <c r="N600" s="57">
        <f>IF(COUNTBLANK(A600:L600)=12,"",1)</f>
        <v/>
      </c>
      <c r="O600" s="40" t="n"/>
    </row>
    <row r="601" ht="15" customHeight="1" s="34">
      <c r="A601" s="48" t="n"/>
      <c r="B601" s="41">
        <f>IF(A601="","",TEXT(A601,"mmm"))</f>
        <v/>
      </c>
      <c r="C601" s="41" t="n"/>
      <c r="D601" s="42" t="n"/>
      <c r="E601" s="41" t="n"/>
      <c r="F601" s="41">
        <f>IFERROR(INDEX(销售员主数据!$B$2:$B$101,MATCH($E601,销售员主数据!$A$2:$A$101,0)),"")</f>
        <v/>
      </c>
      <c r="G601" s="41">
        <f>IFERROR(INDEX(销售员主数据!$C$2:$C$101,MATCH($E601,销售员主数据!$A$2:$A$101,0)),"")</f>
        <v/>
      </c>
      <c r="H601" s="41">
        <f>IFERROR(INDEX(销售员主数据!$D$2:$D$101,MATCH($E601,销售员主数据!$A$2:$A$101,0)),"")</f>
        <v/>
      </c>
      <c r="I601" s="43" t="n"/>
      <c r="J601" s="43" t="n"/>
      <c r="K601" s="44" t="n"/>
      <c r="L601" s="58" t="n"/>
      <c r="M601" s="59" t="n"/>
      <c r="N601" s="60">
        <f>IF(COUNTBLANK(A601:L601)=12,"",1)</f>
        <v/>
      </c>
      <c r="O601" s="42" t="n"/>
    </row>
    <row r="602" ht="15" customHeight="1" s="34">
      <c r="A602" s="46" t="n"/>
      <c r="B602" s="39">
        <f>IF(A602="","",TEXT(A602,"mmm"))</f>
        <v/>
      </c>
      <c r="C602" s="39" t="n"/>
      <c r="D602" s="40" t="n"/>
      <c r="E602" s="39" t="n"/>
      <c r="F602" s="39">
        <f>IFERROR(INDEX(销售员主数据!$B$2:$B$101,MATCH($E602,销售员主数据!$A$2:$A$101,0)),"")</f>
        <v/>
      </c>
      <c r="G602" s="39">
        <f>IFERROR(INDEX(销售员主数据!$C$2:$C$101,MATCH($E602,销售员主数据!$A$2:$A$101,0)),"")</f>
        <v/>
      </c>
      <c r="H602" s="39">
        <f>IFERROR(INDEX(销售员主数据!$D$2:$D$101,MATCH($E602,销售员主数据!$A$2:$A$101,0)),"")</f>
        <v/>
      </c>
      <c r="I602" s="50" t="n"/>
      <c r="J602" s="50" t="n"/>
      <c r="K602" s="54" t="n"/>
      <c r="L602" s="55" t="n"/>
      <c r="M602" s="56" t="n"/>
      <c r="N602" s="57">
        <f>IF(COUNTBLANK(A602:L602)=12,"",1)</f>
        <v/>
      </c>
      <c r="O602" s="40" t="n"/>
    </row>
    <row r="603" ht="15" customHeight="1" s="34">
      <c r="A603" s="48" t="n"/>
      <c r="B603" s="41">
        <f>IF(A603="","",TEXT(A603,"mmm"))</f>
        <v/>
      </c>
      <c r="C603" s="41" t="n"/>
      <c r="D603" s="42" t="n"/>
      <c r="E603" s="41" t="n"/>
      <c r="F603" s="41">
        <f>IFERROR(INDEX(销售员主数据!$B$2:$B$101,MATCH($E603,销售员主数据!$A$2:$A$101,0)),"")</f>
        <v/>
      </c>
      <c r="G603" s="41">
        <f>IFERROR(INDEX(销售员主数据!$C$2:$C$101,MATCH($E603,销售员主数据!$A$2:$A$101,0)),"")</f>
        <v/>
      </c>
      <c r="H603" s="41">
        <f>IFERROR(INDEX(销售员主数据!$D$2:$D$101,MATCH($E603,销售员主数据!$A$2:$A$101,0)),"")</f>
        <v/>
      </c>
      <c r="I603" s="43" t="n"/>
      <c r="J603" s="43" t="n"/>
      <c r="K603" s="44" t="n"/>
      <c r="L603" s="58" t="n"/>
      <c r="M603" s="59" t="n"/>
      <c r="N603" s="60">
        <f>IF(COUNTBLANK(A603:L603)=12,"",1)</f>
        <v/>
      </c>
      <c r="O603" s="42" t="n"/>
    </row>
    <row r="604" ht="15" customHeight="1" s="34">
      <c r="A604" s="46" t="n"/>
      <c r="B604" s="39">
        <f>IF(A604="","",TEXT(A604,"mmm"))</f>
        <v/>
      </c>
      <c r="C604" s="39" t="n"/>
      <c r="D604" s="40" t="n"/>
      <c r="E604" s="39" t="n"/>
      <c r="F604" s="39">
        <f>IFERROR(INDEX(销售员主数据!$B$2:$B$101,MATCH($E604,销售员主数据!$A$2:$A$101,0)),"")</f>
        <v/>
      </c>
      <c r="G604" s="39">
        <f>IFERROR(INDEX(销售员主数据!$C$2:$C$101,MATCH($E604,销售员主数据!$A$2:$A$101,0)),"")</f>
        <v/>
      </c>
      <c r="H604" s="39">
        <f>IFERROR(INDEX(销售员主数据!$D$2:$D$101,MATCH($E604,销售员主数据!$A$2:$A$101,0)),"")</f>
        <v/>
      </c>
      <c r="I604" s="50" t="n"/>
      <c r="J604" s="50" t="n"/>
      <c r="K604" s="54" t="n"/>
      <c r="L604" s="55" t="n"/>
      <c r="M604" s="56" t="n"/>
      <c r="N604" s="57">
        <f>IF(COUNTBLANK(A604:L604)=12,"",1)</f>
        <v/>
      </c>
      <c r="O604" s="40" t="n"/>
    </row>
    <row r="605" ht="15" customHeight="1" s="34">
      <c r="A605" s="48" t="n"/>
      <c r="B605" s="41">
        <f>IF(A605="","",TEXT(A605,"mmm"))</f>
        <v/>
      </c>
      <c r="C605" s="41" t="n"/>
      <c r="D605" s="42" t="n"/>
      <c r="E605" s="41" t="n"/>
      <c r="F605" s="41">
        <f>IFERROR(INDEX(销售员主数据!$B$2:$B$101,MATCH($E605,销售员主数据!$A$2:$A$101,0)),"")</f>
        <v/>
      </c>
      <c r="G605" s="41">
        <f>IFERROR(INDEX(销售员主数据!$C$2:$C$101,MATCH($E605,销售员主数据!$A$2:$A$101,0)),"")</f>
        <v/>
      </c>
      <c r="H605" s="41">
        <f>IFERROR(INDEX(销售员主数据!$D$2:$D$101,MATCH($E605,销售员主数据!$A$2:$A$101,0)),"")</f>
        <v/>
      </c>
      <c r="I605" s="43" t="n"/>
      <c r="J605" s="43" t="n"/>
      <c r="K605" s="44" t="n"/>
      <c r="L605" s="58" t="n"/>
      <c r="M605" s="59" t="n"/>
      <c r="N605" s="60">
        <f>IF(COUNTBLANK(A605:L605)=12,"",1)</f>
        <v/>
      </c>
      <c r="O605" s="42" t="n"/>
    </row>
    <row r="606" ht="15" customHeight="1" s="34">
      <c r="A606" s="46" t="n"/>
      <c r="B606" s="39">
        <f>IF(A606="","",TEXT(A606,"mmm"))</f>
        <v/>
      </c>
      <c r="C606" s="39" t="n"/>
      <c r="D606" s="40" t="n"/>
      <c r="E606" s="39" t="n"/>
      <c r="F606" s="39">
        <f>IFERROR(INDEX(销售员主数据!$B$2:$B$101,MATCH($E606,销售员主数据!$A$2:$A$101,0)),"")</f>
        <v/>
      </c>
      <c r="G606" s="39">
        <f>IFERROR(INDEX(销售员主数据!$C$2:$C$101,MATCH($E606,销售员主数据!$A$2:$A$101,0)),"")</f>
        <v/>
      </c>
      <c r="H606" s="39">
        <f>IFERROR(INDEX(销售员主数据!$D$2:$D$101,MATCH($E606,销售员主数据!$A$2:$A$101,0)),"")</f>
        <v/>
      </c>
      <c r="I606" s="50" t="n"/>
      <c r="J606" s="50" t="n"/>
      <c r="K606" s="54" t="n"/>
      <c r="L606" s="55" t="n"/>
      <c r="M606" s="56" t="n"/>
      <c r="N606" s="57">
        <f>IF(COUNTBLANK(A606:L606)=12,"",1)</f>
        <v/>
      </c>
      <c r="O606" s="40" t="n"/>
    </row>
    <row r="607" ht="15" customHeight="1" s="34">
      <c r="A607" s="48" t="n"/>
      <c r="B607" s="41">
        <f>IF(A607="","",TEXT(A607,"mmm"))</f>
        <v/>
      </c>
      <c r="C607" s="41" t="n"/>
      <c r="D607" s="42" t="n"/>
      <c r="E607" s="41" t="n"/>
      <c r="F607" s="41">
        <f>IFERROR(INDEX(销售员主数据!$B$2:$B$101,MATCH($E607,销售员主数据!$A$2:$A$101,0)),"")</f>
        <v/>
      </c>
      <c r="G607" s="41">
        <f>IFERROR(INDEX(销售员主数据!$C$2:$C$101,MATCH($E607,销售员主数据!$A$2:$A$101,0)),"")</f>
        <v/>
      </c>
      <c r="H607" s="41">
        <f>IFERROR(INDEX(销售员主数据!$D$2:$D$101,MATCH($E607,销售员主数据!$A$2:$A$101,0)),"")</f>
        <v/>
      </c>
      <c r="I607" s="43" t="n"/>
      <c r="J607" s="43" t="n"/>
      <c r="K607" s="44" t="n"/>
      <c r="L607" s="58" t="n"/>
      <c r="M607" s="59" t="n"/>
      <c r="N607" s="60">
        <f>IF(COUNTBLANK(A607:L607)=12,"",1)</f>
        <v/>
      </c>
      <c r="O607" s="42" t="n"/>
    </row>
    <row r="608" ht="15" customHeight="1" s="34">
      <c r="A608" s="46" t="n"/>
      <c r="B608" s="39">
        <f>IF(A608="","",TEXT(A608,"mmm"))</f>
        <v/>
      </c>
      <c r="C608" s="39" t="n"/>
      <c r="D608" s="40" t="n"/>
      <c r="E608" s="39" t="n"/>
      <c r="F608" s="39">
        <f>IFERROR(INDEX(销售员主数据!$B$2:$B$101,MATCH($E608,销售员主数据!$A$2:$A$101,0)),"")</f>
        <v/>
      </c>
      <c r="G608" s="39">
        <f>IFERROR(INDEX(销售员主数据!$C$2:$C$101,MATCH($E608,销售员主数据!$A$2:$A$101,0)),"")</f>
        <v/>
      </c>
      <c r="H608" s="39">
        <f>IFERROR(INDEX(销售员主数据!$D$2:$D$101,MATCH($E608,销售员主数据!$A$2:$A$101,0)),"")</f>
        <v/>
      </c>
      <c r="I608" s="50" t="n"/>
      <c r="J608" s="50" t="n"/>
      <c r="K608" s="54" t="n"/>
      <c r="L608" s="55" t="n"/>
      <c r="M608" s="56" t="n"/>
      <c r="N608" s="57">
        <f>IF(COUNTBLANK(A608:L608)=12,"",1)</f>
        <v/>
      </c>
      <c r="O608" s="40" t="n"/>
    </row>
    <row r="609" ht="15" customHeight="1" s="34">
      <c r="A609" s="48" t="n"/>
      <c r="B609" s="41">
        <f>IF(A609="","",TEXT(A609,"mmm"))</f>
        <v/>
      </c>
      <c r="C609" s="41" t="n"/>
      <c r="D609" s="42" t="n"/>
      <c r="E609" s="41" t="n"/>
      <c r="F609" s="41">
        <f>IFERROR(INDEX(销售员主数据!$B$2:$B$101,MATCH($E609,销售员主数据!$A$2:$A$101,0)),"")</f>
        <v/>
      </c>
      <c r="G609" s="41">
        <f>IFERROR(INDEX(销售员主数据!$C$2:$C$101,MATCH($E609,销售员主数据!$A$2:$A$101,0)),"")</f>
        <v/>
      </c>
      <c r="H609" s="41">
        <f>IFERROR(INDEX(销售员主数据!$D$2:$D$101,MATCH($E609,销售员主数据!$A$2:$A$101,0)),"")</f>
        <v/>
      </c>
      <c r="I609" s="43" t="n"/>
      <c r="J609" s="43" t="n"/>
      <c r="K609" s="44" t="n"/>
      <c r="L609" s="58" t="n"/>
      <c r="M609" s="59" t="n"/>
      <c r="N609" s="60">
        <f>IF(COUNTBLANK(A609:L609)=12,"",1)</f>
        <v/>
      </c>
      <c r="O609" s="42" t="n"/>
    </row>
    <row r="610" ht="15" customHeight="1" s="34">
      <c r="A610" s="46" t="n"/>
      <c r="B610" s="39">
        <f>IF(A610="","",TEXT(A610,"mmm"))</f>
        <v/>
      </c>
      <c r="C610" s="39" t="n"/>
      <c r="D610" s="40" t="n"/>
      <c r="E610" s="39" t="n"/>
      <c r="F610" s="39">
        <f>IFERROR(INDEX(销售员主数据!$B$2:$B$101,MATCH($E610,销售员主数据!$A$2:$A$101,0)),"")</f>
        <v/>
      </c>
      <c r="G610" s="39">
        <f>IFERROR(INDEX(销售员主数据!$C$2:$C$101,MATCH($E610,销售员主数据!$A$2:$A$101,0)),"")</f>
        <v/>
      </c>
      <c r="H610" s="39">
        <f>IFERROR(INDEX(销售员主数据!$D$2:$D$101,MATCH($E610,销售员主数据!$A$2:$A$101,0)),"")</f>
        <v/>
      </c>
      <c r="I610" s="50" t="n"/>
      <c r="J610" s="50" t="n"/>
      <c r="K610" s="54" t="n"/>
      <c r="L610" s="55" t="n"/>
      <c r="M610" s="56" t="n"/>
      <c r="N610" s="57">
        <f>IF(COUNTBLANK(A610:L610)=12,"",1)</f>
        <v/>
      </c>
      <c r="O610" s="40" t="n"/>
    </row>
    <row r="611" ht="15" customHeight="1" s="34">
      <c r="A611" s="48" t="n"/>
      <c r="B611" s="41">
        <f>IF(A611="","",TEXT(A611,"mmm"))</f>
        <v/>
      </c>
      <c r="C611" s="41" t="n"/>
      <c r="D611" s="42" t="n"/>
      <c r="E611" s="41" t="n"/>
      <c r="F611" s="41">
        <f>IFERROR(INDEX(销售员主数据!$B$2:$B$101,MATCH($E611,销售员主数据!$A$2:$A$101,0)),"")</f>
        <v/>
      </c>
      <c r="G611" s="41">
        <f>IFERROR(INDEX(销售员主数据!$C$2:$C$101,MATCH($E611,销售员主数据!$A$2:$A$101,0)),"")</f>
        <v/>
      </c>
      <c r="H611" s="41">
        <f>IFERROR(INDEX(销售员主数据!$D$2:$D$101,MATCH($E611,销售员主数据!$A$2:$A$101,0)),"")</f>
        <v/>
      </c>
      <c r="I611" s="43" t="n"/>
      <c r="J611" s="43" t="n"/>
      <c r="K611" s="44" t="n"/>
      <c r="L611" s="58" t="n"/>
      <c r="M611" s="59" t="n"/>
      <c r="N611" s="60">
        <f>IF(COUNTBLANK(A611:L611)=12,"",1)</f>
        <v/>
      </c>
      <c r="O611" s="42" t="n"/>
    </row>
    <row r="612" ht="15" customHeight="1" s="34">
      <c r="A612" s="46" t="n"/>
      <c r="B612" s="39">
        <f>IF(A612="","",TEXT(A612,"mmm"))</f>
        <v/>
      </c>
      <c r="C612" s="39" t="n"/>
      <c r="D612" s="40" t="n"/>
      <c r="E612" s="39" t="n"/>
      <c r="F612" s="39">
        <f>IFERROR(INDEX(销售员主数据!$B$2:$B$101,MATCH($E612,销售员主数据!$A$2:$A$101,0)),"")</f>
        <v/>
      </c>
      <c r="G612" s="39">
        <f>IFERROR(INDEX(销售员主数据!$C$2:$C$101,MATCH($E612,销售员主数据!$A$2:$A$101,0)),"")</f>
        <v/>
      </c>
      <c r="H612" s="39">
        <f>IFERROR(INDEX(销售员主数据!$D$2:$D$101,MATCH($E612,销售员主数据!$A$2:$A$101,0)),"")</f>
        <v/>
      </c>
      <c r="I612" s="50" t="n"/>
      <c r="J612" s="50" t="n"/>
      <c r="K612" s="54" t="n"/>
      <c r="L612" s="55" t="n"/>
      <c r="M612" s="56" t="n"/>
      <c r="N612" s="57">
        <f>IF(COUNTBLANK(A612:L612)=12,"",1)</f>
        <v/>
      </c>
      <c r="O612" s="40" t="n"/>
    </row>
    <row r="613" ht="15" customHeight="1" s="34">
      <c r="A613" s="48" t="n"/>
      <c r="B613" s="41">
        <f>IF(A613="","",TEXT(A613,"mmm"))</f>
        <v/>
      </c>
      <c r="C613" s="41" t="n"/>
      <c r="D613" s="42" t="n"/>
      <c r="E613" s="41" t="n"/>
      <c r="F613" s="41">
        <f>IFERROR(INDEX(销售员主数据!$B$2:$B$101,MATCH($E613,销售员主数据!$A$2:$A$101,0)),"")</f>
        <v/>
      </c>
      <c r="G613" s="41">
        <f>IFERROR(INDEX(销售员主数据!$C$2:$C$101,MATCH($E613,销售员主数据!$A$2:$A$101,0)),"")</f>
        <v/>
      </c>
      <c r="H613" s="41">
        <f>IFERROR(INDEX(销售员主数据!$D$2:$D$101,MATCH($E613,销售员主数据!$A$2:$A$101,0)),"")</f>
        <v/>
      </c>
      <c r="I613" s="43" t="n"/>
      <c r="J613" s="43" t="n"/>
      <c r="K613" s="44" t="n"/>
      <c r="L613" s="58" t="n"/>
      <c r="M613" s="59" t="n"/>
      <c r="N613" s="60">
        <f>IF(COUNTBLANK(A613:L613)=12,"",1)</f>
        <v/>
      </c>
      <c r="O613" s="42" t="n"/>
    </row>
    <row r="614" ht="15" customHeight="1" s="34">
      <c r="A614" s="46" t="n"/>
      <c r="B614" s="39">
        <f>IF(A614="","",TEXT(A614,"mmm"))</f>
        <v/>
      </c>
      <c r="C614" s="39" t="n"/>
      <c r="D614" s="40" t="n"/>
      <c r="E614" s="39" t="n"/>
      <c r="F614" s="39">
        <f>IFERROR(INDEX(销售员主数据!$B$2:$B$101,MATCH($E614,销售员主数据!$A$2:$A$101,0)),"")</f>
        <v/>
      </c>
      <c r="G614" s="39">
        <f>IFERROR(INDEX(销售员主数据!$C$2:$C$101,MATCH($E614,销售员主数据!$A$2:$A$101,0)),"")</f>
        <v/>
      </c>
      <c r="H614" s="39">
        <f>IFERROR(INDEX(销售员主数据!$D$2:$D$101,MATCH($E614,销售员主数据!$A$2:$A$101,0)),"")</f>
        <v/>
      </c>
      <c r="I614" s="50" t="n"/>
      <c r="J614" s="50" t="n"/>
      <c r="K614" s="54" t="n"/>
      <c r="L614" s="55" t="n"/>
      <c r="M614" s="56" t="n"/>
      <c r="N614" s="57">
        <f>IF(COUNTBLANK(A614:L614)=12,"",1)</f>
        <v/>
      </c>
      <c r="O614" s="40" t="n"/>
    </row>
    <row r="615" ht="15" customHeight="1" s="34">
      <c r="A615" s="48" t="n"/>
      <c r="B615" s="41">
        <f>IF(A615="","",TEXT(A615,"mmm"))</f>
        <v/>
      </c>
      <c r="C615" s="41" t="n"/>
      <c r="D615" s="42" t="n"/>
      <c r="E615" s="41" t="n"/>
      <c r="F615" s="41">
        <f>IFERROR(INDEX(销售员主数据!$B$2:$B$101,MATCH($E615,销售员主数据!$A$2:$A$101,0)),"")</f>
        <v/>
      </c>
      <c r="G615" s="41">
        <f>IFERROR(INDEX(销售员主数据!$C$2:$C$101,MATCH($E615,销售员主数据!$A$2:$A$101,0)),"")</f>
        <v/>
      </c>
      <c r="H615" s="41">
        <f>IFERROR(INDEX(销售员主数据!$D$2:$D$101,MATCH($E615,销售员主数据!$A$2:$A$101,0)),"")</f>
        <v/>
      </c>
      <c r="I615" s="43" t="n"/>
      <c r="J615" s="43" t="n"/>
      <c r="K615" s="44" t="n"/>
      <c r="L615" s="58" t="n"/>
      <c r="M615" s="59" t="n"/>
      <c r="N615" s="60">
        <f>IF(COUNTBLANK(A615:L615)=12,"",1)</f>
        <v/>
      </c>
      <c r="O615" s="42" t="n"/>
    </row>
    <row r="616" ht="15" customHeight="1" s="34">
      <c r="A616" s="46" t="n"/>
      <c r="B616" s="39">
        <f>IF(A616="","",TEXT(A616,"mmm"))</f>
        <v/>
      </c>
      <c r="C616" s="39" t="n"/>
      <c r="D616" s="40" t="n"/>
      <c r="E616" s="39" t="n"/>
      <c r="F616" s="39">
        <f>IFERROR(INDEX(销售员主数据!$B$2:$B$101,MATCH($E616,销售员主数据!$A$2:$A$101,0)),"")</f>
        <v/>
      </c>
      <c r="G616" s="39">
        <f>IFERROR(INDEX(销售员主数据!$C$2:$C$101,MATCH($E616,销售员主数据!$A$2:$A$101,0)),"")</f>
        <v/>
      </c>
      <c r="H616" s="39">
        <f>IFERROR(INDEX(销售员主数据!$D$2:$D$101,MATCH($E616,销售员主数据!$A$2:$A$101,0)),"")</f>
        <v/>
      </c>
      <c r="I616" s="50" t="n"/>
      <c r="J616" s="50" t="n"/>
      <c r="K616" s="54" t="n"/>
      <c r="L616" s="55" t="n"/>
      <c r="M616" s="56" t="n"/>
      <c r="N616" s="57">
        <f>IF(COUNTBLANK(A616:L616)=12,"",1)</f>
        <v/>
      </c>
      <c r="O616" s="40" t="n"/>
    </row>
    <row r="617" ht="15" customHeight="1" s="34">
      <c r="A617" s="48" t="n"/>
      <c r="B617" s="41">
        <f>IF(A617="","",TEXT(A617,"mmm"))</f>
        <v/>
      </c>
      <c r="C617" s="41" t="n"/>
      <c r="D617" s="42" t="n"/>
      <c r="E617" s="41" t="n"/>
      <c r="F617" s="41">
        <f>IFERROR(INDEX(销售员主数据!$B$2:$B$101,MATCH($E617,销售员主数据!$A$2:$A$101,0)),"")</f>
        <v/>
      </c>
      <c r="G617" s="41">
        <f>IFERROR(INDEX(销售员主数据!$C$2:$C$101,MATCH($E617,销售员主数据!$A$2:$A$101,0)),"")</f>
        <v/>
      </c>
      <c r="H617" s="41">
        <f>IFERROR(INDEX(销售员主数据!$D$2:$D$101,MATCH($E617,销售员主数据!$A$2:$A$101,0)),"")</f>
        <v/>
      </c>
      <c r="I617" s="43" t="n"/>
      <c r="J617" s="43" t="n"/>
      <c r="K617" s="44" t="n"/>
      <c r="L617" s="58" t="n"/>
      <c r="M617" s="59" t="n"/>
      <c r="N617" s="60">
        <f>IF(COUNTBLANK(A617:L617)=12,"",1)</f>
        <v/>
      </c>
      <c r="O617" s="42" t="n"/>
    </row>
    <row r="618" ht="15" customHeight="1" s="34">
      <c r="A618" s="46" t="n"/>
      <c r="B618" s="39">
        <f>IF(A618="","",TEXT(A618,"mmm"))</f>
        <v/>
      </c>
      <c r="C618" s="39" t="n"/>
      <c r="D618" s="40" t="n"/>
      <c r="E618" s="39" t="n"/>
      <c r="F618" s="39">
        <f>IFERROR(INDEX(销售员主数据!$B$2:$B$101,MATCH($E618,销售员主数据!$A$2:$A$101,0)),"")</f>
        <v/>
      </c>
      <c r="G618" s="39">
        <f>IFERROR(INDEX(销售员主数据!$C$2:$C$101,MATCH($E618,销售员主数据!$A$2:$A$101,0)),"")</f>
        <v/>
      </c>
      <c r="H618" s="39">
        <f>IFERROR(INDEX(销售员主数据!$D$2:$D$101,MATCH($E618,销售员主数据!$A$2:$A$101,0)),"")</f>
        <v/>
      </c>
      <c r="I618" s="50" t="n"/>
      <c r="J618" s="50" t="n"/>
      <c r="K618" s="54" t="n"/>
      <c r="L618" s="55" t="n"/>
      <c r="M618" s="56" t="n"/>
      <c r="N618" s="57">
        <f>IF(COUNTBLANK(A618:L618)=12,"",1)</f>
        <v/>
      </c>
      <c r="O618" s="40" t="n"/>
    </row>
    <row r="619" ht="15" customHeight="1" s="34">
      <c r="A619" s="48" t="n"/>
      <c r="B619" s="41">
        <f>IF(A619="","",TEXT(A619,"mmm"))</f>
        <v/>
      </c>
      <c r="C619" s="41" t="n"/>
      <c r="D619" s="42" t="n"/>
      <c r="E619" s="41" t="n"/>
      <c r="F619" s="41">
        <f>IFERROR(INDEX(销售员主数据!$B$2:$B$101,MATCH($E619,销售员主数据!$A$2:$A$101,0)),"")</f>
        <v/>
      </c>
      <c r="G619" s="41">
        <f>IFERROR(INDEX(销售员主数据!$C$2:$C$101,MATCH($E619,销售员主数据!$A$2:$A$101,0)),"")</f>
        <v/>
      </c>
      <c r="H619" s="41">
        <f>IFERROR(INDEX(销售员主数据!$D$2:$D$101,MATCH($E619,销售员主数据!$A$2:$A$101,0)),"")</f>
        <v/>
      </c>
      <c r="I619" s="43" t="n"/>
      <c r="J619" s="43" t="n"/>
      <c r="K619" s="44" t="n"/>
      <c r="L619" s="58" t="n"/>
      <c r="M619" s="59" t="n"/>
      <c r="N619" s="60">
        <f>IF(COUNTBLANK(A619:L619)=12,"",1)</f>
        <v/>
      </c>
      <c r="O619" s="42" t="n"/>
    </row>
    <row r="620" ht="15" customHeight="1" s="34">
      <c r="A620" s="46" t="n"/>
      <c r="B620" s="39">
        <f>IF(A620="","",TEXT(A620,"mmm"))</f>
        <v/>
      </c>
      <c r="C620" s="39" t="n"/>
      <c r="D620" s="40" t="n"/>
      <c r="E620" s="39" t="n"/>
      <c r="F620" s="39">
        <f>IFERROR(INDEX(销售员主数据!$B$2:$B$101,MATCH($E620,销售员主数据!$A$2:$A$101,0)),"")</f>
        <v/>
      </c>
      <c r="G620" s="39">
        <f>IFERROR(INDEX(销售员主数据!$C$2:$C$101,MATCH($E620,销售员主数据!$A$2:$A$101,0)),"")</f>
        <v/>
      </c>
      <c r="H620" s="39">
        <f>IFERROR(INDEX(销售员主数据!$D$2:$D$101,MATCH($E620,销售员主数据!$A$2:$A$101,0)),"")</f>
        <v/>
      </c>
      <c r="I620" s="50" t="n"/>
      <c r="J620" s="50" t="n"/>
      <c r="K620" s="54" t="n"/>
      <c r="L620" s="55" t="n"/>
      <c r="M620" s="56" t="n"/>
      <c r="N620" s="57">
        <f>IF(COUNTBLANK(A620:L620)=12,"",1)</f>
        <v/>
      </c>
      <c r="O620" s="40" t="n"/>
    </row>
    <row r="621" ht="15" customHeight="1" s="34">
      <c r="A621" s="48" t="n"/>
      <c r="B621" s="41">
        <f>IF(A621="","",TEXT(A621,"mmm"))</f>
        <v/>
      </c>
      <c r="C621" s="41" t="n"/>
      <c r="D621" s="42" t="n"/>
      <c r="E621" s="41" t="n"/>
      <c r="F621" s="41">
        <f>IFERROR(INDEX(销售员主数据!$B$2:$B$101,MATCH($E621,销售员主数据!$A$2:$A$101,0)),"")</f>
        <v/>
      </c>
      <c r="G621" s="41">
        <f>IFERROR(INDEX(销售员主数据!$C$2:$C$101,MATCH($E621,销售员主数据!$A$2:$A$101,0)),"")</f>
        <v/>
      </c>
      <c r="H621" s="41">
        <f>IFERROR(INDEX(销售员主数据!$D$2:$D$101,MATCH($E621,销售员主数据!$A$2:$A$101,0)),"")</f>
        <v/>
      </c>
      <c r="I621" s="43" t="n"/>
      <c r="J621" s="43" t="n"/>
      <c r="K621" s="44" t="n"/>
      <c r="L621" s="58" t="n"/>
      <c r="M621" s="59" t="n"/>
      <c r="N621" s="60">
        <f>IF(COUNTBLANK(A621:L621)=12,"",1)</f>
        <v/>
      </c>
      <c r="O621" s="42" t="n"/>
    </row>
    <row r="622" ht="15" customHeight="1" s="34">
      <c r="A622" s="46" t="n"/>
      <c r="B622" s="39">
        <f>IF(A622="","",TEXT(A622,"mmm"))</f>
        <v/>
      </c>
      <c r="C622" s="39" t="n"/>
      <c r="D622" s="40" t="n"/>
      <c r="E622" s="39" t="n"/>
      <c r="F622" s="39">
        <f>IFERROR(INDEX(销售员主数据!$B$2:$B$101,MATCH($E622,销售员主数据!$A$2:$A$101,0)),"")</f>
        <v/>
      </c>
      <c r="G622" s="39">
        <f>IFERROR(INDEX(销售员主数据!$C$2:$C$101,MATCH($E622,销售员主数据!$A$2:$A$101,0)),"")</f>
        <v/>
      </c>
      <c r="H622" s="39">
        <f>IFERROR(INDEX(销售员主数据!$D$2:$D$101,MATCH($E622,销售员主数据!$A$2:$A$101,0)),"")</f>
        <v/>
      </c>
      <c r="I622" s="50" t="n"/>
      <c r="J622" s="50" t="n"/>
      <c r="K622" s="54" t="n"/>
      <c r="L622" s="55" t="n"/>
      <c r="M622" s="56" t="n"/>
      <c r="N622" s="57">
        <f>IF(COUNTBLANK(A622:L622)=12,"",1)</f>
        <v/>
      </c>
      <c r="O622" s="40" t="n"/>
    </row>
    <row r="623" ht="15" customHeight="1" s="34">
      <c r="A623" s="48" t="n"/>
      <c r="B623" s="41">
        <f>IF(A623="","",TEXT(A623,"mmm"))</f>
        <v/>
      </c>
      <c r="C623" s="41" t="n"/>
      <c r="D623" s="42" t="n"/>
      <c r="E623" s="41" t="n"/>
      <c r="F623" s="41">
        <f>IFERROR(INDEX(销售员主数据!$B$2:$B$101,MATCH($E623,销售员主数据!$A$2:$A$101,0)),"")</f>
        <v/>
      </c>
      <c r="G623" s="41">
        <f>IFERROR(INDEX(销售员主数据!$C$2:$C$101,MATCH($E623,销售员主数据!$A$2:$A$101,0)),"")</f>
        <v/>
      </c>
      <c r="H623" s="41">
        <f>IFERROR(INDEX(销售员主数据!$D$2:$D$101,MATCH($E623,销售员主数据!$A$2:$A$101,0)),"")</f>
        <v/>
      </c>
      <c r="I623" s="43" t="n"/>
      <c r="J623" s="43" t="n"/>
      <c r="K623" s="44" t="n"/>
      <c r="L623" s="58" t="n"/>
      <c r="M623" s="59" t="n"/>
      <c r="N623" s="60">
        <f>IF(COUNTBLANK(A623:L623)=12,"",1)</f>
        <v/>
      </c>
      <c r="O623" s="42" t="n"/>
    </row>
    <row r="624" ht="15" customHeight="1" s="34">
      <c r="A624" s="46" t="n"/>
      <c r="B624" s="39">
        <f>IF(A624="","",TEXT(A624,"mmm"))</f>
        <v/>
      </c>
      <c r="C624" s="39" t="n"/>
      <c r="D624" s="40" t="n"/>
      <c r="E624" s="39" t="n"/>
      <c r="F624" s="39">
        <f>IFERROR(INDEX(销售员主数据!$B$2:$B$101,MATCH($E624,销售员主数据!$A$2:$A$101,0)),"")</f>
        <v/>
      </c>
      <c r="G624" s="39">
        <f>IFERROR(INDEX(销售员主数据!$C$2:$C$101,MATCH($E624,销售员主数据!$A$2:$A$101,0)),"")</f>
        <v/>
      </c>
      <c r="H624" s="39">
        <f>IFERROR(INDEX(销售员主数据!$D$2:$D$101,MATCH($E624,销售员主数据!$A$2:$A$101,0)),"")</f>
        <v/>
      </c>
      <c r="I624" s="50" t="n"/>
      <c r="J624" s="50" t="n"/>
      <c r="K624" s="54" t="n"/>
      <c r="L624" s="55" t="n"/>
      <c r="M624" s="56" t="n"/>
      <c r="N624" s="57">
        <f>IF(COUNTBLANK(A624:L624)=12,"",1)</f>
        <v/>
      </c>
      <c r="O624" s="40" t="n"/>
    </row>
    <row r="625" ht="15" customHeight="1" s="34">
      <c r="A625" s="48" t="n"/>
      <c r="B625" s="41">
        <f>IF(A625="","",TEXT(A625,"mmm"))</f>
        <v/>
      </c>
      <c r="C625" s="41" t="n"/>
      <c r="D625" s="42" t="n"/>
      <c r="E625" s="41" t="n"/>
      <c r="F625" s="41">
        <f>IFERROR(INDEX(销售员主数据!$B$2:$B$101,MATCH($E625,销售员主数据!$A$2:$A$101,0)),"")</f>
        <v/>
      </c>
      <c r="G625" s="41">
        <f>IFERROR(INDEX(销售员主数据!$C$2:$C$101,MATCH($E625,销售员主数据!$A$2:$A$101,0)),"")</f>
        <v/>
      </c>
      <c r="H625" s="41">
        <f>IFERROR(INDEX(销售员主数据!$D$2:$D$101,MATCH($E625,销售员主数据!$A$2:$A$101,0)),"")</f>
        <v/>
      </c>
      <c r="I625" s="43" t="n"/>
      <c r="J625" s="43" t="n"/>
      <c r="K625" s="44" t="n"/>
      <c r="L625" s="58" t="n"/>
      <c r="M625" s="59" t="n"/>
      <c r="N625" s="60">
        <f>IF(COUNTBLANK(A625:L625)=12,"",1)</f>
        <v/>
      </c>
      <c r="O625" s="42" t="n"/>
    </row>
    <row r="626" ht="15" customHeight="1" s="34">
      <c r="A626" s="46" t="n"/>
      <c r="B626" s="39">
        <f>IF(A626="","",TEXT(A626,"mmm"))</f>
        <v/>
      </c>
      <c r="C626" s="39" t="n"/>
      <c r="D626" s="40" t="n"/>
      <c r="E626" s="39" t="n"/>
      <c r="F626" s="39">
        <f>IFERROR(INDEX(销售员主数据!$B$2:$B$101,MATCH($E626,销售员主数据!$A$2:$A$101,0)),"")</f>
        <v/>
      </c>
      <c r="G626" s="39">
        <f>IFERROR(INDEX(销售员主数据!$C$2:$C$101,MATCH($E626,销售员主数据!$A$2:$A$101,0)),"")</f>
        <v/>
      </c>
      <c r="H626" s="39">
        <f>IFERROR(INDEX(销售员主数据!$D$2:$D$101,MATCH($E626,销售员主数据!$A$2:$A$101,0)),"")</f>
        <v/>
      </c>
      <c r="I626" s="50" t="n"/>
      <c r="J626" s="50" t="n"/>
      <c r="K626" s="54" t="n"/>
      <c r="L626" s="55" t="n"/>
      <c r="M626" s="56" t="n"/>
      <c r="N626" s="57">
        <f>IF(COUNTBLANK(A626:L626)=12,"",1)</f>
        <v/>
      </c>
      <c r="O626" s="40" t="n"/>
    </row>
    <row r="627" ht="15" customHeight="1" s="34">
      <c r="A627" s="48" t="n"/>
      <c r="B627" s="41">
        <f>IF(A627="","",TEXT(A627,"mmm"))</f>
        <v/>
      </c>
      <c r="C627" s="41" t="n"/>
      <c r="D627" s="42" t="n"/>
      <c r="E627" s="41" t="n"/>
      <c r="F627" s="41">
        <f>IFERROR(INDEX(销售员主数据!$B$2:$B$101,MATCH($E627,销售员主数据!$A$2:$A$101,0)),"")</f>
        <v/>
      </c>
      <c r="G627" s="41">
        <f>IFERROR(INDEX(销售员主数据!$C$2:$C$101,MATCH($E627,销售员主数据!$A$2:$A$101,0)),"")</f>
        <v/>
      </c>
      <c r="H627" s="41">
        <f>IFERROR(INDEX(销售员主数据!$D$2:$D$101,MATCH($E627,销售员主数据!$A$2:$A$101,0)),"")</f>
        <v/>
      </c>
      <c r="I627" s="43" t="n"/>
      <c r="J627" s="43" t="n"/>
      <c r="K627" s="44" t="n"/>
      <c r="L627" s="58" t="n"/>
      <c r="M627" s="59" t="n"/>
      <c r="N627" s="60">
        <f>IF(COUNTBLANK(A627:L627)=12,"",1)</f>
        <v/>
      </c>
      <c r="O627" s="42" t="n"/>
    </row>
    <row r="628" ht="15" customHeight="1" s="34">
      <c r="A628" s="46" t="n"/>
      <c r="B628" s="39">
        <f>IF(A628="","",TEXT(A628,"mmm"))</f>
        <v/>
      </c>
      <c r="C628" s="39" t="n"/>
      <c r="D628" s="40" t="n"/>
      <c r="E628" s="39" t="n"/>
      <c r="F628" s="39">
        <f>IFERROR(INDEX(销售员主数据!$B$2:$B$101,MATCH($E628,销售员主数据!$A$2:$A$101,0)),"")</f>
        <v/>
      </c>
      <c r="G628" s="39">
        <f>IFERROR(INDEX(销售员主数据!$C$2:$C$101,MATCH($E628,销售员主数据!$A$2:$A$101,0)),"")</f>
        <v/>
      </c>
      <c r="H628" s="39">
        <f>IFERROR(INDEX(销售员主数据!$D$2:$D$101,MATCH($E628,销售员主数据!$A$2:$A$101,0)),"")</f>
        <v/>
      </c>
      <c r="I628" s="50" t="n"/>
      <c r="J628" s="50" t="n"/>
      <c r="K628" s="54" t="n"/>
      <c r="L628" s="55" t="n"/>
      <c r="M628" s="56" t="n"/>
      <c r="N628" s="57">
        <f>IF(COUNTBLANK(A628:L628)=12,"",1)</f>
        <v/>
      </c>
      <c r="O628" s="40" t="n"/>
    </row>
    <row r="629" ht="15" customHeight="1" s="34">
      <c r="A629" s="48" t="n"/>
      <c r="B629" s="41">
        <f>IF(A629="","",TEXT(A629,"mmm"))</f>
        <v/>
      </c>
      <c r="C629" s="41" t="n"/>
      <c r="D629" s="42" t="n"/>
      <c r="E629" s="41" t="n"/>
      <c r="F629" s="41">
        <f>IFERROR(INDEX(销售员主数据!$B$2:$B$101,MATCH($E629,销售员主数据!$A$2:$A$101,0)),"")</f>
        <v/>
      </c>
      <c r="G629" s="41">
        <f>IFERROR(INDEX(销售员主数据!$C$2:$C$101,MATCH($E629,销售员主数据!$A$2:$A$101,0)),"")</f>
        <v/>
      </c>
      <c r="H629" s="41">
        <f>IFERROR(INDEX(销售员主数据!$D$2:$D$101,MATCH($E629,销售员主数据!$A$2:$A$101,0)),"")</f>
        <v/>
      </c>
      <c r="I629" s="43" t="n"/>
      <c r="J629" s="43" t="n"/>
      <c r="K629" s="44" t="n"/>
      <c r="L629" s="58" t="n"/>
      <c r="M629" s="59" t="n"/>
      <c r="N629" s="60">
        <f>IF(COUNTBLANK(A629:L629)=12,"",1)</f>
        <v/>
      </c>
      <c r="O629" s="42" t="n"/>
    </row>
    <row r="630" ht="15" customHeight="1" s="34">
      <c r="A630" s="46" t="n"/>
      <c r="B630" s="39">
        <f>IF(A630="","",TEXT(A630,"mmm"))</f>
        <v/>
      </c>
      <c r="C630" s="39" t="n"/>
      <c r="D630" s="40" t="n"/>
      <c r="E630" s="39" t="n"/>
      <c r="F630" s="39">
        <f>IFERROR(INDEX(销售员主数据!$B$2:$B$101,MATCH($E630,销售员主数据!$A$2:$A$101,0)),"")</f>
        <v/>
      </c>
      <c r="G630" s="39">
        <f>IFERROR(INDEX(销售员主数据!$C$2:$C$101,MATCH($E630,销售员主数据!$A$2:$A$101,0)),"")</f>
        <v/>
      </c>
      <c r="H630" s="39">
        <f>IFERROR(INDEX(销售员主数据!$D$2:$D$101,MATCH($E630,销售员主数据!$A$2:$A$101,0)),"")</f>
        <v/>
      </c>
      <c r="I630" s="50" t="n"/>
      <c r="J630" s="50" t="n"/>
      <c r="K630" s="54" t="n"/>
      <c r="L630" s="55" t="n"/>
      <c r="M630" s="56" t="n"/>
      <c r="N630" s="57">
        <f>IF(COUNTBLANK(A630:L630)=12,"",1)</f>
        <v/>
      </c>
      <c r="O630" s="40" t="n"/>
    </row>
    <row r="631" ht="15" customHeight="1" s="34">
      <c r="A631" s="48" t="n"/>
      <c r="B631" s="41">
        <f>IF(A631="","",TEXT(A631,"mmm"))</f>
        <v/>
      </c>
      <c r="C631" s="41" t="n"/>
      <c r="D631" s="42" t="n"/>
      <c r="E631" s="41" t="n"/>
      <c r="F631" s="41">
        <f>IFERROR(INDEX(销售员主数据!$B$2:$B$101,MATCH($E631,销售员主数据!$A$2:$A$101,0)),"")</f>
        <v/>
      </c>
      <c r="G631" s="41">
        <f>IFERROR(INDEX(销售员主数据!$C$2:$C$101,MATCH($E631,销售员主数据!$A$2:$A$101,0)),"")</f>
        <v/>
      </c>
      <c r="H631" s="41">
        <f>IFERROR(INDEX(销售员主数据!$D$2:$D$101,MATCH($E631,销售员主数据!$A$2:$A$101,0)),"")</f>
        <v/>
      </c>
      <c r="I631" s="43" t="n"/>
      <c r="J631" s="43" t="n"/>
      <c r="K631" s="44" t="n"/>
      <c r="L631" s="58" t="n"/>
      <c r="M631" s="59" t="n"/>
      <c r="N631" s="60">
        <f>IF(COUNTBLANK(A631:L631)=12,"",1)</f>
        <v/>
      </c>
      <c r="O631" s="42" t="n"/>
    </row>
    <row r="632" ht="15" customHeight="1" s="34">
      <c r="A632" s="46" t="n"/>
      <c r="B632" s="39">
        <f>IF(A632="","",TEXT(A632,"mmm"))</f>
        <v/>
      </c>
      <c r="C632" s="39" t="n"/>
      <c r="D632" s="40" t="n"/>
      <c r="E632" s="39" t="n"/>
      <c r="F632" s="39">
        <f>IFERROR(INDEX(销售员主数据!$B$2:$B$101,MATCH($E632,销售员主数据!$A$2:$A$101,0)),"")</f>
        <v/>
      </c>
      <c r="G632" s="39">
        <f>IFERROR(INDEX(销售员主数据!$C$2:$C$101,MATCH($E632,销售员主数据!$A$2:$A$101,0)),"")</f>
        <v/>
      </c>
      <c r="H632" s="39">
        <f>IFERROR(INDEX(销售员主数据!$D$2:$D$101,MATCH($E632,销售员主数据!$A$2:$A$101,0)),"")</f>
        <v/>
      </c>
      <c r="I632" s="50" t="n"/>
      <c r="J632" s="50" t="n"/>
      <c r="K632" s="54" t="n"/>
      <c r="L632" s="55" t="n"/>
      <c r="M632" s="56" t="n"/>
      <c r="N632" s="57">
        <f>IF(COUNTBLANK(A632:L632)=12,"",1)</f>
        <v/>
      </c>
      <c r="O632" s="40" t="n"/>
    </row>
    <row r="633" ht="15" customHeight="1" s="34">
      <c r="A633" s="48" t="n"/>
      <c r="B633" s="41">
        <f>IF(A633="","",TEXT(A633,"mmm"))</f>
        <v/>
      </c>
      <c r="C633" s="41" t="n"/>
      <c r="D633" s="42" t="n"/>
      <c r="E633" s="41" t="n"/>
      <c r="F633" s="41">
        <f>IFERROR(INDEX(销售员主数据!$B$2:$B$101,MATCH($E633,销售员主数据!$A$2:$A$101,0)),"")</f>
        <v/>
      </c>
      <c r="G633" s="41">
        <f>IFERROR(INDEX(销售员主数据!$C$2:$C$101,MATCH($E633,销售员主数据!$A$2:$A$101,0)),"")</f>
        <v/>
      </c>
      <c r="H633" s="41">
        <f>IFERROR(INDEX(销售员主数据!$D$2:$D$101,MATCH($E633,销售员主数据!$A$2:$A$101,0)),"")</f>
        <v/>
      </c>
      <c r="I633" s="43" t="n"/>
      <c r="J633" s="43" t="n"/>
      <c r="K633" s="44" t="n"/>
      <c r="L633" s="58" t="n"/>
      <c r="M633" s="59" t="n"/>
      <c r="N633" s="60">
        <f>IF(COUNTBLANK(A633:L633)=12,"",1)</f>
        <v/>
      </c>
      <c r="O633" s="42" t="n"/>
    </row>
    <row r="634" ht="15" customHeight="1" s="34">
      <c r="A634" s="46" t="n"/>
      <c r="B634" s="39">
        <f>IF(A634="","",TEXT(A634,"mmm"))</f>
        <v/>
      </c>
      <c r="C634" s="39" t="n"/>
      <c r="D634" s="40" t="n"/>
      <c r="E634" s="39" t="n"/>
      <c r="F634" s="39">
        <f>IFERROR(INDEX(销售员主数据!$B$2:$B$101,MATCH($E634,销售员主数据!$A$2:$A$101,0)),"")</f>
        <v/>
      </c>
      <c r="G634" s="39">
        <f>IFERROR(INDEX(销售员主数据!$C$2:$C$101,MATCH($E634,销售员主数据!$A$2:$A$101,0)),"")</f>
        <v/>
      </c>
      <c r="H634" s="39">
        <f>IFERROR(INDEX(销售员主数据!$D$2:$D$101,MATCH($E634,销售员主数据!$A$2:$A$101,0)),"")</f>
        <v/>
      </c>
      <c r="I634" s="50" t="n"/>
      <c r="J634" s="50" t="n"/>
      <c r="K634" s="54" t="n"/>
      <c r="L634" s="55" t="n"/>
      <c r="M634" s="56" t="n"/>
      <c r="N634" s="57">
        <f>IF(COUNTBLANK(A634:L634)=12,"",1)</f>
        <v/>
      </c>
      <c r="O634" s="40" t="n"/>
    </row>
    <row r="635" ht="15" customHeight="1" s="34">
      <c r="A635" s="48" t="n"/>
      <c r="B635" s="41">
        <f>IF(A635="","",TEXT(A635,"mmm"))</f>
        <v/>
      </c>
      <c r="C635" s="41" t="n"/>
      <c r="D635" s="42" t="n"/>
      <c r="E635" s="41" t="n"/>
      <c r="F635" s="41">
        <f>IFERROR(INDEX(销售员主数据!$B$2:$B$101,MATCH($E635,销售员主数据!$A$2:$A$101,0)),"")</f>
        <v/>
      </c>
      <c r="G635" s="41">
        <f>IFERROR(INDEX(销售员主数据!$C$2:$C$101,MATCH($E635,销售员主数据!$A$2:$A$101,0)),"")</f>
        <v/>
      </c>
      <c r="H635" s="41">
        <f>IFERROR(INDEX(销售员主数据!$D$2:$D$101,MATCH($E635,销售员主数据!$A$2:$A$101,0)),"")</f>
        <v/>
      </c>
      <c r="I635" s="43" t="n"/>
      <c r="J635" s="43" t="n"/>
      <c r="K635" s="44" t="n"/>
      <c r="L635" s="58" t="n"/>
      <c r="M635" s="59" t="n"/>
      <c r="N635" s="60">
        <f>IF(COUNTBLANK(A635:L635)=12,"",1)</f>
        <v/>
      </c>
      <c r="O635" s="42" t="n"/>
    </row>
    <row r="636" ht="15" customHeight="1" s="34">
      <c r="A636" s="46" t="n"/>
      <c r="B636" s="39">
        <f>IF(A636="","",TEXT(A636,"mmm"))</f>
        <v/>
      </c>
      <c r="C636" s="39" t="n"/>
      <c r="D636" s="40" t="n"/>
      <c r="E636" s="39" t="n"/>
      <c r="F636" s="39">
        <f>IFERROR(INDEX(销售员主数据!$B$2:$B$101,MATCH($E636,销售员主数据!$A$2:$A$101,0)),"")</f>
        <v/>
      </c>
      <c r="G636" s="39">
        <f>IFERROR(INDEX(销售员主数据!$C$2:$C$101,MATCH($E636,销售员主数据!$A$2:$A$101,0)),"")</f>
        <v/>
      </c>
      <c r="H636" s="39">
        <f>IFERROR(INDEX(销售员主数据!$D$2:$D$101,MATCH($E636,销售员主数据!$A$2:$A$101,0)),"")</f>
        <v/>
      </c>
      <c r="I636" s="50" t="n"/>
      <c r="J636" s="50" t="n"/>
      <c r="K636" s="54" t="n"/>
      <c r="L636" s="55" t="n"/>
      <c r="M636" s="56" t="n"/>
      <c r="N636" s="57">
        <f>IF(COUNTBLANK(A636:L636)=12,"",1)</f>
        <v/>
      </c>
      <c r="O636" s="40" t="n"/>
    </row>
    <row r="637" ht="15" customHeight="1" s="34">
      <c r="A637" s="48" t="n"/>
      <c r="B637" s="41">
        <f>IF(A637="","",TEXT(A637,"mmm"))</f>
        <v/>
      </c>
      <c r="C637" s="41" t="n"/>
      <c r="D637" s="42" t="n"/>
      <c r="E637" s="41" t="n"/>
      <c r="F637" s="41">
        <f>IFERROR(INDEX(销售员主数据!$B$2:$B$101,MATCH($E637,销售员主数据!$A$2:$A$101,0)),"")</f>
        <v/>
      </c>
      <c r="G637" s="41">
        <f>IFERROR(INDEX(销售员主数据!$C$2:$C$101,MATCH($E637,销售员主数据!$A$2:$A$101,0)),"")</f>
        <v/>
      </c>
      <c r="H637" s="41">
        <f>IFERROR(INDEX(销售员主数据!$D$2:$D$101,MATCH($E637,销售员主数据!$A$2:$A$101,0)),"")</f>
        <v/>
      </c>
      <c r="I637" s="43" t="n"/>
      <c r="J637" s="43" t="n"/>
      <c r="K637" s="44" t="n"/>
      <c r="L637" s="58" t="n"/>
      <c r="M637" s="59" t="n"/>
      <c r="N637" s="60">
        <f>IF(COUNTBLANK(A637:L637)=12,"",1)</f>
        <v/>
      </c>
      <c r="O637" s="42" t="n"/>
    </row>
    <row r="638" ht="15" customHeight="1" s="34">
      <c r="A638" s="46" t="n"/>
      <c r="B638" s="39">
        <f>IF(A638="","",TEXT(A638,"mmm"))</f>
        <v/>
      </c>
      <c r="C638" s="39" t="n"/>
      <c r="D638" s="40" t="n"/>
      <c r="E638" s="39" t="n"/>
      <c r="F638" s="39">
        <f>IFERROR(INDEX(销售员主数据!$B$2:$B$101,MATCH($E638,销售员主数据!$A$2:$A$101,0)),"")</f>
        <v/>
      </c>
      <c r="G638" s="39">
        <f>IFERROR(INDEX(销售员主数据!$C$2:$C$101,MATCH($E638,销售员主数据!$A$2:$A$101,0)),"")</f>
        <v/>
      </c>
      <c r="H638" s="39">
        <f>IFERROR(INDEX(销售员主数据!$D$2:$D$101,MATCH($E638,销售员主数据!$A$2:$A$101,0)),"")</f>
        <v/>
      </c>
      <c r="I638" s="50" t="n"/>
      <c r="J638" s="50" t="n"/>
      <c r="K638" s="54" t="n"/>
      <c r="L638" s="55" t="n"/>
      <c r="M638" s="56" t="n"/>
      <c r="N638" s="57">
        <f>IF(COUNTBLANK(A638:L638)=12,"",1)</f>
        <v/>
      </c>
      <c r="O638" s="40" t="n"/>
    </row>
    <row r="639" ht="15" customHeight="1" s="34">
      <c r="A639" s="48" t="n"/>
      <c r="B639" s="41">
        <f>IF(A639="","",TEXT(A639,"mmm"))</f>
        <v/>
      </c>
      <c r="C639" s="41" t="n"/>
      <c r="D639" s="42" t="n"/>
      <c r="E639" s="41" t="n"/>
      <c r="F639" s="41">
        <f>IFERROR(INDEX(销售员主数据!$B$2:$B$101,MATCH($E639,销售员主数据!$A$2:$A$101,0)),"")</f>
        <v/>
      </c>
      <c r="G639" s="41">
        <f>IFERROR(INDEX(销售员主数据!$C$2:$C$101,MATCH($E639,销售员主数据!$A$2:$A$101,0)),"")</f>
        <v/>
      </c>
      <c r="H639" s="41">
        <f>IFERROR(INDEX(销售员主数据!$D$2:$D$101,MATCH($E639,销售员主数据!$A$2:$A$101,0)),"")</f>
        <v/>
      </c>
      <c r="I639" s="43" t="n"/>
      <c r="J639" s="43" t="n"/>
      <c r="K639" s="44" t="n"/>
      <c r="L639" s="58" t="n"/>
      <c r="M639" s="59" t="n"/>
      <c r="N639" s="60">
        <f>IF(COUNTBLANK(A639:L639)=12,"",1)</f>
        <v/>
      </c>
      <c r="O639" s="42" t="n"/>
    </row>
    <row r="640" ht="15" customHeight="1" s="34">
      <c r="A640" s="46" t="n"/>
      <c r="B640" s="39">
        <f>IF(A640="","",TEXT(A640,"mmm"))</f>
        <v/>
      </c>
      <c r="C640" s="39" t="n"/>
      <c r="D640" s="40" t="n"/>
      <c r="E640" s="39" t="n"/>
      <c r="F640" s="39">
        <f>IFERROR(INDEX(销售员主数据!$B$2:$B$101,MATCH($E640,销售员主数据!$A$2:$A$101,0)),"")</f>
        <v/>
      </c>
      <c r="G640" s="39">
        <f>IFERROR(INDEX(销售员主数据!$C$2:$C$101,MATCH($E640,销售员主数据!$A$2:$A$101,0)),"")</f>
        <v/>
      </c>
      <c r="H640" s="39">
        <f>IFERROR(INDEX(销售员主数据!$D$2:$D$101,MATCH($E640,销售员主数据!$A$2:$A$101,0)),"")</f>
        <v/>
      </c>
      <c r="I640" s="50" t="n"/>
      <c r="J640" s="50" t="n"/>
      <c r="K640" s="54" t="n"/>
      <c r="L640" s="55" t="n"/>
      <c r="M640" s="56" t="n"/>
      <c r="N640" s="57">
        <f>IF(COUNTBLANK(A640:L640)=12,"",1)</f>
        <v/>
      </c>
      <c r="O640" s="40" t="n"/>
    </row>
    <row r="641" ht="15" customHeight="1" s="34">
      <c r="A641" s="48" t="n"/>
      <c r="B641" s="41">
        <f>IF(A641="","",TEXT(A641,"mmm"))</f>
        <v/>
      </c>
      <c r="C641" s="41" t="n"/>
      <c r="D641" s="42" t="n"/>
      <c r="E641" s="41" t="n"/>
      <c r="F641" s="41">
        <f>IFERROR(INDEX(销售员主数据!$B$2:$B$101,MATCH($E641,销售员主数据!$A$2:$A$101,0)),"")</f>
        <v/>
      </c>
      <c r="G641" s="41">
        <f>IFERROR(INDEX(销售员主数据!$C$2:$C$101,MATCH($E641,销售员主数据!$A$2:$A$101,0)),"")</f>
        <v/>
      </c>
      <c r="H641" s="41">
        <f>IFERROR(INDEX(销售员主数据!$D$2:$D$101,MATCH($E641,销售员主数据!$A$2:$A$101,0)),"")</f>
        <v/>
      </c>
      <c r="I641" s="43" t="n"/>
      <c r="J641" s="43" t="n"/>
      <c r="K641" s="44" t="n"/>
      <c r="L641" s="58" t="n"/>
      <c r="M641" s="59" t="n"/>
      <c r="N641" s="60">
        <f>IF(COUNTBLANK(A641:L641)=12,"",1)</f>
        <v/>
      </c>
      <c r="O641" s="42" t="n"/>
    </row>
    <row r="642" ht="15" customHeight="1" s="34">
      <c r="A642" s="46" t="n"/>
      <c r="B642" s="39">
        <f>IF(A642="","",TEXT(A642,"mmm"))</f>
        <v/>
      </c>
      <c r="C642" s="39" t="n"/>
      <c r="D642" s="40" t="n"/>
      <c r="E642" s="39" t="n"/>
      <c r="F642" s="39">
        <f>IFERROR(INDEX(销售员主数据!$B$2:$B$101,MATCH($E642,销售员主数据!$A$2:$A$101,0)),"")</f>
        <v/>
      </c>
      <c r="G642" s="39">
        <f>IFERROR(INDEX(销售员主数据!$C$2:$C$101,MATCH($E642,销售员主数据!$A$2:$A$101,0)),"")</f>
        <v/>
      </c>
      <c r="H642" s="39">
        <f>IFERROR(INDEX(销售员主数据!$D$2:$D$101,MATCH($E642,销售员主数据!$A$2:$A$101,0)),"")</f>
        <v/>
      </c>
      <c r="I642" s="50" t="n"/>
      <c r="J642" s="50" t="n"/>
      <c r="K642" s="54" t="n"/>
      <c r="L642" s="55" t="n"/>
      <c r="M642" s="56" t="n"/>
      <c r="N642" s="57">
        <f>IF(COUNTBLANK(A642:L642)=12,"",1)</f>
        <v/>
      </c>
      <c r="O642" s="40" t="n"/>
    </row>
    <row r="643" ht="15" customHeight="1" s="34">
      <c r="A643" s="48" t="n"/>
      <c r="B643" s="41">
        <f>IF(A643="","",TEXT(A643,"mmm"))</f>
        <v/>
      </c>
      <c r="C643" s="41" t="n"/>
      <c r="D643" s="42" t="n"/>
      <c r="E643" s="41" t="n"/>
      <c r="F643" s="41">
        <f>IFERROR(INDEX(销售员主数据!$B$2:$B$101,MATCH($E643,销售员主数据!$A$2:$A$101,0)),"")</f>
        <v/>
      </c>
      <c r="G643" s="41">
        <f>IFERROR(INDEX(销售员主数据!$C$2:$C$101,MATCH($E643,销售员主数据!$A$2:$A$101,0)),"")</f>
        <v/>
      </c>
      <c r="H643" s="41">
        <f>IFERROR(INDEX(销售员主数据!$D$2:$D$101,MATCH($E643,销售员主数据!$A$2:$A$101,0)),"")</f>
        <v/>
      </c>
      <c r="I643" s="43" t="n"/>
      <c r="J643" s="43" t="n"/>
      <c r="K643" s="44" t="n"/>
      <c r="L643" s="58" t="n"/>
      <c r="M643" s="59" t="n"/>
      <c r="N643" s="60">
        <f>IF(COUNTBLANK(A643:L643)=12,"",1)</f>
        <v/>
      </c>
      <c r="O643" s="42" t="n"/>
    </row>
    <row r="644" ht="15" customHeight="1" s="34">
      <c r="A644" s="46" t="n"/>
      <c r="B644" s="39">
        <f>IF(A644="","",TEXT(A644,"mmm"))</f>
        <v/>
      </c>
      <c r="C644" s="39" t="n"/>
      <c r="D644" s="40" t="n"/>
      <c r="E644" s="39" t="n"/>
      <c r="F644" s="39">
        <f>IFERROR(INDEX(销售员主数据!$B$2:$B$101,MATCH($E644,销售员主数据!$A$2:$A$101,0)),"")</f>
        <v/>
      </c>
      <c r="G644" s="39">
        <f>IFERROR(INDEX(销售员主数据!$C$2:$C$101,MATCH($E644,销售员主数据!$A$2:$A$101,0)),"")</f>
        <v/>
      </c>
      <c r="H644" s="39">
        <f>IFERROR(INDEX(销售员主数据!$D$2:$D$101,MATCH($E644,销售员主数据!$A$2:$A$101,0)),"")</f>
        <v/>
      </c>
      <c r="I644" s="50" t="n"/>
      <c r="J644" s="50" t="n"/>
      <c r="K644" s="54" t="n"/>
      <c r="L644" s="55" t="n"/>
      <c r="M644" s="56" t="n"/>
      <c r="N644" s="57">
        <f>IF(COUNTBLANK(A644:L644)=12,"",1)</f>
        <v/>
      </c>
      <c r="O644" s="40" t="n"/>
    </row>
    <row r="645" ht="15" customHeight="1" s="34">
      <c r="A645" s="48" t="n"/>
      <c r="B645" s="41">
        <f>IF(A645="","",TEXT(A645,"mmm"))</f>
        <v/>
      </c>
      <c r="C645" s="41" t="n"/>
      <c r="D645" s="42" t="n"/>
      <c r="E645" s="41" t="n"/>
      <c r="F645" s="41">
        <f>IFERROR(INDEX(销售员主数据!$B$2:$B$101,MATCH($E645,销售员主数据!$A$2:$A$101,0)),"")</f>
        <v/>
      </c>
      <c r="G645" s="41">
        <f>IFERROR(INDEX(销售员主数据!$C$2:$C$101,MATCH($E645,销售员主数据!$A$2:$A$101,0)),"")</f>
        <v/>
      </c>
      <c r="H645" s="41">
        <f>IFERROR(INDEX(销售员主数据!$D$2:$D$101,MATCH($E645,销售员主数据!$A$2:$A$101,0)),"")</f>
        <v/>
      </c>
      <c r="I645" s="43" t="n"/>
      <c r="J645" s="43" t="n"/>
      <c r="K645" s="44" t="n"/>
      <c r="L645" s="58" t="n"/>
      <c r="M645" s="59" t="n"/>
      <c r="N645" s="60">
        <f>IF(COUNTBLANK(A645:L645)=12,"",1)</f>
        <v/>
      </c>
      <c r="O645" s="42" t="n"/>
    </row>
    <row r="646" ht="15" customHeight="1" s="34">
      <c r="A646" s="46" t="n"/>
      <c r="B646" s="39">
        <f>IF(A646="","",TEXT(A646,"mmm"))</f>
        <v/>
      </c>
      <c r="C646" s="39" t="n"/>
      <c r="D646" s="40" t="n"/>
      <c r="E646" s="39" t="n"/>
      <c r="F646" s="39">
        <f>IFERROR(INDEX(销售员主数据!$B$2:$B$101,MATCH($E646,销售员主数据!$A$2:$A$101,0)),"")</f>
        <v/>
      </c>
      <c r="G646" s="39">
        <f>IFERROR(INDEX(销售员主数据!$C$2:$C$101,MATCH($E646,销售员主数据!$A$2:$A$101,0)),"")</f>
        <v/>
      </c>
      <c r="H646" s="39">
        <f>IFERROR(INDEX(销售员主数据!$D$2:$D$101,MATCH($E646,销售员主数据!$A$2:$A$101,0)),"")</f>
        <v/>
      </c>
      <c r="I646" s="50" t="n"/>
      <c r="J646" s="50" t="n"/>
      <c r="K646" s="54" t="n"/>
      <c r="L646" s="55" t="n"/>
      <c r="M646" s="56" t="n"/>
      <c r="N646" s="57">
        <f>IF(COUNTBLANK(A646:L646)=12,"",1)</f>
        <v/>
      </c>
      <c r="O646" s="40" t="n"/>
    </row>
    <row r="647" ht="15" customHeight="1" s="34">
      <c r="A647" s="48" t="n"/>
      <c r="B647" s="41">
        <f>IF(A647="","",TEXT(A647,"mmm"))</f>
        <v/>
      </c>
      <c r="C647" s="41" t="n"/>
      <c r="D647" s="42" t="n"/>
      <c r="E647" s="41" t="n"/>
      <c r="F647" s="41">
        <f>IFERROR(INDEX(销售员主数据!$B$2:$B$101,MATCH($E647,销售员主数据!$A$2:$A$101,0)),"")</f>
        <v/>
      </c>
      <c r="G647" s="41">
        <f>IFERROR(INDEX(销售员主数据!$C$2:$C$101,MATCH($E647,销售员主数据!$A$2:$A$101,0)),"")</f>
        <v/>
      </c>
      <c r="H647" s="41">
        <f>IFERROR(INDEX(销售员主数据!$D$2:$D$101,MATCH($E647,销售员主数据!$A$2:$A$101,0)),"")</f>
        <v/>
      </c>
      <c r="I647" s="43" t="n"/>
      <c r="J647" s="43" t="n"/>
      <c r="K647" s="44" t="n"/>
      <c r="L647" s="58" t="n"/>
      <c r="M647" s="59" t="n"/>
      <c r="N647" s="60">
        <f>IF(COUNTBLANK(A647:L647)=12,"",1)</f>
        <v/>
      </c>
      <c r="O647" s="42" t="n"/>
    </row>
    <row r="648" ht="15" customHeight="1" s="34">
      <c r="A648" s="46" t="n"/>
      <c r="B648" s="39">
        <f>IF(A648="","",TEXT(A648,"mmm"))</f>
        <v/>
      </c>
      <c r="C648" s="39" t="n"/>
      <c r="D648" s="40" t="n"/>
      <c r="E648" s="39" t="n"/>
      <c r="F648" s="39">
        <f>IFERROR(INDEX(销售员主数据!$B$2:$B$101,MATCH($E648,销售员主数据!$A$2:$A$101,0)),"")</f>
        <v/>
      </c>
      <c r="G648" s="39">
        <f>IFERROR(INDEX(销售员主数据!$C$2:$C$101,MATCH($E648,销售员主数据!$A$2:$A$101,0)),"")</f>
        <v/>
      </c>
      <c r="H648" s="39">
        <f>IFERROR(INDEX(销售员主数据!$D$2:$D$101,MATCH($E648,销售员主数据!$A$2:$A$101,0)),"")</f>
        <v/>
      </c>
      <c r="I648" s="50" t="n"/>
      <c r="J648" s="50" t="n"/>
      <c r="K648" s="54" t="n"/>
      <c r="L648" s="55" t="n"/>
      <c r="M648" s="56" t="n"/>
      <c r="N648" s="57">
        <f>IF(COUNTBLANK(A648:L648)=12,"",1)</f>
        <v/>
      </c>
      <c r="O648" s="40" t="n"/>
    </row>
    <row r="649" ht="15" customHeight="1" s="34">
      <c r="A649" s="48" t="n"/>
      <c r="B649" s="41">
        <f>IF(A649="","",TEXT(A649,"mmm"))</f>
        <v/>
      </c>
      <c r="C649" s="41" t="n"/>
      <c r="D649" s="42" t="n"/>
      <c r="E649" s="41" t="n"/>
      <c r="F649" s="41">
        <f>IFERROR(INDEX(销售员主数据!$B$2:$B$101,MATCH($E649,销售员主数据!$A$2:$A$101,0)),"")</f>
        <v/>
      </c>
      <c r="G649" s="41">
        <f>IFERROR(INDEX(销售员主数据!$C$2:$C$101,MATCH($E649,销售员主数据!$A$2:$A$101,0)),"")</f>
        <v/>
      </c>
      <c r="H649" s="41">
        <f>IFERROR(INDEX(销售员主数据!$D$2:$D$101,MATCH($E649,销售员主数据!$A$2:$A$101,0)),"")</f>
        <v/>
      </c>
      <c r="I649" s="43" t="n"/>
      <c r="J649" s="43" t="n"/>
      <c r="K649" s="44" t="n"/>
      <c r="L649" s="58" t="n"/>
      <c r="M649" s="59" t="n"/>
      <c r="N649" s="60">
        <f>IF(COUNTBLANK(A649:L649)=12,"",1)</f>
        <v/>
      </c>
      <c r="O649" s="42" t="n"/>
    </row>
    <row r="650" ht="15" customHeight="1" s="34">
      <c r="A650" s="46" t="n"/>
      <c r="B650" s="39">
        <f>IF(A650="","",TEXT(A650,"mmm"))</f>
        <v/>
      </c>
      <c r="C650" s="39" t="n"/>
      <c r="D650" s="40" t="n"/>
      <c r="E650" s="39" t="n"/>
      <c r="F650" s="39">
        <f>IFERROR(INDEX(销售员主数据!$B$2:$B$101,MATCH($E650,销售员主数据!$A$2:$A$101,0)),"")</f>
        <v/>
      </c>
      <c r="G650" s="39">
        <f>IFERROR(INDEX(销售员主数据!$C$2:$C$101,MATCH($E650,销售员主数据!$A$2:$A$101,0)),"")</f>
        <v/>
      </c>
      <c r="H650" s="39">
        <f>IFERROR(INDEX(销售员主数据!$D$2:$D$101,MATCH($E650,销售员主数据!$A$2:$A$101,0)),"")</f>
        <v/>
      </c>
      <c r="I650" s="50" t="n"/>
      <c r="J650" s="50" t="n"/>
      <c r="K650" s="54" t="n"/>
      <c r="L650" s="55" t="n"/>
      <c r="M650" s="56" t="n"/>
      <c r="N650" s="57">
        <f>IF(COUNTBLANK(A650:L650)=12,"",1)</f>
        <v/>
      </c>
      <c r="O650" s="40" t="n"/>
    </row>
    <row r="651" ht="15" customHeight="1" s="34">
      <c r="A651" s="48" t="n"/>
      <c r="B651" s="41">
        <f>IF(A651="","",TEXT(A651,"mmm"))</f>
        <v/>
      </c>
      <c r="C651" s="41" t="n"/>
      <c r="D651" s="42" t="n"/>
      <c r="E651" s="41" t="n"/>
      <c r="F651" s="41">
        <f>IFERROR(INDEX(销售员主数据!$B$2:$B$101,MATCH($E651,销售员主数据!$A$2:$A$101,0)),"")</f>
        <v/>
      </c>
      <c r="G651" s="41">
        <f>IFERROR(INDEX(销售员主数据!$C$2:$C$101,MATCH($E651,销售员主数据!$A$2:$A$101,0)),"")</f>
        <v/>
      </c>
      <c r="H651" s="41">
        <f>IFERROR(INDEX(销售员主数据!$D$2:$D$101,MATCH($E651,销售员主数据!$A$2:$A$101,0)),"")</f>
        <v/>
      </c>
      <c r="I651" s="43" t="n"/>
      <c r="J651" s="43" t="n"/>
      <c r="K651" s="44" t="n"/>
      <c r="L651" s="58" t="n"/>
      <c r="M651" s="59" t="n"/>
      <c r="N651" s="60">
        <f>IF(COUNTBLANK(A651:L651)=12,"",1)</f>
        <v/>
      </c>
      <c r="O651" s="42" t="n"/>
    </row>
    <row r="652" ht="15" customHeight="1" s="34">
      <c r="A652" s="46" t="n"/>
      <c r="B652" s="39">
        <f>IF(A652="","",TEXT(A652,"mmm"))</f>
        <v/>
      </c>
      <c r="C652" s="39" t="n"/>
      <c r="D652" s="40" t="n"/>
      <c r="E652" s="39" t="n"/>
      <c r="F652" s="39">
        <f>IFERROR(INDEX(销售员主数据!$B$2:$B$101,MATCH($E652,销售员主数据!$A$2:$A$101,0)),"")</f>
        <v/>
      </c>
      <c r="G652" s="39">
        <f>IFERROR(INDEX(销售员主数据!$C$2:$C$101,MATCH($E652,销售员主数据!$A$2:$A$101,0)),"")</f>
        <v/>
      </c>
      <c r="H652" s="39">
        <f>IFERROR(INDEX(销售员主数据!$D$2:$D$101,MATCH($E652,销售员主数据!$A$2:$A$101,0)),"")</f>
        <v/>
      </c>
      <c r="I652" s="50" t="n"/>
      <c r="J652" s="50" t="n"/>
      <c r="K652" s="54" t="n"/>
      <c r="L652" s="55" t="n"/>
      <c r="M652" s="56" t="n"/>
      <c r="N652" s="57">
        <f>IF(COUNTBLANK(A652:L652)=12,"",1)</f>
        <v/>
      </c>
      <c r="O652" s="40" t="n"/>
    </row>
    <row r="653" ht="15" customHeight="1" s="34">
      <c r="A653" s="48" t="n"/>
      <c r="B653" s="41">
        <f>IF(A653="","",TEXT(A653,"mmm"))</f>
        <v/>
      </c>
      <c r="C653" s="41" t="n"/>
      <c r="D653" s="42" t="n"/>
      <c r="E653" s="41" t="n"/>
      <c r="F653" s="41">
        <f>IFERROR(INDEX(销售员主数据!$B$2:$B$101,MATCH($E653,销售员主数据!$A$2:$A$101,0)),"")</f>
        <v/>
      </c>
      <c r="G653" s="41">
        <f>IFERROR(INDEX(销售员主数据!$C$2:$C$101,MATCH($E653,销售员主数据!$A$2:$A$101,0)),"")</f>
        <v/>
      </c>
      <c r="H653" s="41">
        <f>IFERROR(INDEX(销售员主数据!$D$2:$D$101,MATCH($E653,销售员主数据!$A$2:$A$101,0)),"")</f>
        <v/>
      </c>
      <c r="I653" s="43" t="n"/>
      <c r="J653" s="43" t="n"/>
      <c r="K653" s="44" t="n"/>
      <c r="L653" s="58" t="n"/>
      <c r="M653" s="59" t="n"/>
      <c r="N653" s="60">
        <f>IF(COUNTBLANK(A653:L653)=12,"",1)</f>
        <v/>
      </c>
      <c r="O653" s="42" t="n"/>
    </row>
    <row r="654" ht="15" customHeight="1" s="34">
      <c r="A654" s="46" t="n"/>
      <c r="B654" s="39">
        <f>IF(A654="","",TEXT(A654,"mmm"))</f>
        <v/>
      </c>
      <c r="C654" s="39" t="n"/>
      <c r="D654" s="40" t="n"/>
      <c r="E654" s="39" t="n"/>
      <c r="F654" s="39">
        <f>IFERROR(INDEX(销售员主数据!$B$2:$B$101,MATCH($E654,销售员主数据!$A$2:$A$101,0)),"")</f>
        <v/>
      </c>
      <c r="G654" s="39">
        <f>IFERROR(INDEX(销售员主数据!$C$2:$C$101,MATCH($E654,销售员主数据!$A$2:$A$101,0)),"")</f>
        <v/>
      </c>
      <c r="H654" s="39">
        <f>IFERROR(INDEX(销售员主数据!$D$2:$D$101,MATCH($E654,销售员主数据!$A$2:$A$101,0)),"")</f>
        <v/>
      </c>
      <c r="I654" s="50" t="n"/>
      <c r="J654" s="50" t="n"/>
      <c r="K654" s="54" t="n"/>
      <c r="L654" s="55" t="n"/>
      <c r="M654" s="56" t="n"/>
      <c r="N654" s="57">
        <f>IF(COUNTBLANK(A654:L654)=12,"",1)</f>
        <v/>
      </c>
      <c r="O654" s="40" t="n"/>
    </row>
    <row r="655" ht="15" customHeight="1" s="34">
      <c r="A655" s="48" t="n"/>
      <c r="B655" s="41">
        <f>IF(A655="","",TEXT(A655,"mmm"))</f>
        <v/>
      </c>
      <c r="C655" s="41" t="n"/>
      <c r="D655" s="42" t="n"/>
      <c r="E655" s="41" t="n"/>
      <c r="F655" s="41">
        <f>IFERROR(INDEX(销售员主数据!$B$2:$B$101,MATCH($E655,销售员主数据!$A$2:$A$101,0)),"")</f>
        <v/>
      </c>
      <c r="G655" s="41">
        <f>IFERROR(INDEX(销售员主数据!$C$2:$C$101,MATCH($E655,销售员主数据!$A$2:$A$101,0)),"")</f>
        <v/>
      </c>
      <c r="H655" s="41">
        <f>IFERROR(INDEX(销售员主数据!$D$2:$D$101,MATCH($E655,销售员主数据!$A$2:$A$101,0)),"")</f>
        <v/>
      </c>
      <c r="I655" s="43" t="n"/>
      <c r="J655" s="43" t="n"/>
      <c r="K655" s="44" t="n"/>
      <c r="L655" s="58" t="n"/>
      <c r="M655" s="59" t="n"/>
      <c r="N655" s="60">
        <f>IF(COUNTBLANK(A655:L655)=12,"",1)</f>
        <v/>
      </c>
      <c r="O655" s="42" t="n"/>
    </row>
    <row r="656" ht="15" customHeight="1" s="34">
      <c r="A656" s="46" t="n"/>
      <c r="B656" s="39">
        <f>IF(A656="","",TEXT(A656,"mmm"))</f>
        <v/>
      </c>
      <c r="C656" s="39" t="n"/>
      <c r="D656" s="40" t="n"/>
      <c r="E656" s="39" t="n"/>
      <c r="F656" s="39">
        <f>IFERROR(INDEX(销售员主数据!$B$2:$B$101,MATCH($E656,销售员主数据!$A$2:$A$101,0)),"")</f>
        <v/>
      </c>
      <c r="G656" s="39">
        <f>IFERROR(INDEX(销售员主数据!$C$2:$C$101,MATCH($E656,销售员主数据!$A$2:$A$101,0)),"")</f>
        <v/>
      </c>
      <c r="H656" s="39">
        <f>IFERROR(INDEX(销售员主数据!$D$2:$D$101,MATCH($E656,销售员主数据!$A$2:$A$101,0)),"")</f>
        <v/>
      </c>
      <c r="I656" s="50" t="n"/>
      <c r="J656" s="50" t="n"/>
      <c r="K656" s="54" t="n"/>
      <c r="L656" s="55" t="n"/>
      <c r="M656" s="56" t="n"/>
      <c r="N656" s="57">
        <f>IF(COUNTBLANK(A656:L656)=12,"",1)</f>
        <v/>
      </c>
      <c r="O656" s="40" t="n"/>
    </row>
    <row r="657" ht="15" customHeight="1" s="34">
      <c r="A657" s="48" t="n"/>
      <c r="B657" s="41">
        <f>IF(A657="","",TEXT(A657,"mmm"))</f>
        <v/>
      </c>
      <c r="C657" s="41" t="n"/>
      <c r="D657" s="42" t="n"/>
      <c r="E657" s="41" t="n"/>
      <c r="F657" s="41">
        <f>IFERROR(INDEX(销售员主数据!$B$2:$B$101,MATCH($E657,销售员主数据!$A$2:$A$101,0)),"")</f>
        <v/>
      </c>
      <c r="G657" s="41">
        <f>IFERROR(INDEX(销售员主数据!$C$2:$C$101,MATCH($E657,销售员主数据!$A$2:$A$101,0)),"")</f>
        <v/>
      </c>
      <c r="H657" s="41">
        <f>IFERROR(INDEX(销售员主数据!$D$2:$D$101,MATCH($E657,销售员主数据!$A$2:$A$101,0)),"")</f>
        <v/>
      </c>
      <c r="I657" s="43" t="n"/>
      <c r="J657" s="43" t="n"/>
      <c r="K657" s="44" t="n"/>
      <c r="L657" s="58" t="n"/>
      <c r="M657" s="59" t="n"/>
      <c r="N657" s="60">
        <f>IF(COUNTBLANK(A657:L657)=12,"",1)</f>
        <v/>
      </c>
      <c r="O657" s="42" t="n"/>
    </row>
    <row r="658" ht="15" customHeight="1" s="34">
      <c r="A658" s="46" t="n"/>
      <c r="B658" s="39">
        <f>IF(A658="","",TEXT(A658,"mmm"))</f>
        <v/>
      </c>
      <c r="C658" s="39" t="n"/>
      <c r="D658" s="40" t="n"/>
      <c r="E658" s="39" t="n"/>
      <c r="F658" s="39">
        <f>IFERROR(INDEX(销售员主数据!$B$2:$B$101,MATCH($E658,销售员主数据!$A$2:$A$101,0)),"")</f>
        <v/>
      </c>
      <c r="G658" s="39">
        <f>IFERROR(INDEX(销售员主数据!$C$2:$C$101,MATCH($E658,销售员主数据!$A$2:$A$101,0)),"")</f>
        <v/>
      </c>
      <c r="H658" s="39">
        <f>IFERROR(INDEX(销售员主数据!$D$2:$D$101,MATCH($E658,销售员主数据!$A$2:$A$101,0)),"")</f>
        <v/>
      </c>
      <c r="I658" s="50" t="n"/>
      <c r="J658" s="50" t="n"/>
      <c r="K658" s="54" t="n"/>
      <c r="L658" s="55" t="n"/>
      <c r="M658" s="56" t="n"/>
      <c r="N658" s="57">
        <f>IF(COUNTBLANK(A658:L658)=12,"",1)</f>
        <v/>
      </c>
      <c r="O658" s="40" t="n"/>
    </row>
    <row r="659" ht="15" customHeight="1" s="34">
      <c r="A659" s="48" t="n"/>
      <c r="B659" s="41">
        <f>IF(A659="","",TEXT(A659,"mmm"))</f>
        <v/>
      </c>
      <c r="C659" s="41" t="n"/>
      <c r="D659" s="42" t="n"/>
      <c r="E659" s="41" t="n"/>
      <c r="F659" s="41">
        <f>IFERROR(INDEX(销售员主数据!$B$2:$B$101,MATCH($E659,销售员主数据!$A$2:$A$101,0)),"")</f>
        <v/>
      </c>
      <c r="G659" s="41">
        <f>IFERROR(INDEX(销售员主数据!$C$2:$C$101,MATCH($E659,销售员主数据!$A$2:$A$101,0)),"")</f>
        <v/>
      </c>
      <c r="H659" s="41">
        <f>IFERROR(INDEX(销售员主数据!$D$2:$D$101,MATCH($E659,销售员主数据!$A$2:$A$101,0)),"")</f>
        <v/>
      </c>
      <c r="I659" s="43" t="n"/>
      <c r="J659" s="43" t="n"/>
      <c r="K659" s="44" t="n"/>
      <c r="L659" s="58" t="n"/>
      <c r="M659" s="59" t="n"/>
      <c r="N659" s="60">
        <f>IF(COUNTBLANK(A659:L659)=12,"",1)</f>
        <v/>
      </c>
      <c r="O659" s="42" t="n"/>
    </row>
    <row r="660" ht="15" customHeight="1" s="34">
      <c r="A660" s="46" t="n"/>
      <c r="B660" s="39">
        <f>IF(A660="","",TEXT(A660,"mmm"))</f>
        <v/>
      </c>
      <c r="C660" s="39" t="n"/>
      <c r="D660" s="40" t="n"/>
      <c r="E660" s="39" t="n"/>
      <c r="F660" s="39">
        <f>IFERROR(INDEX(销售员主数据!$B$2:$B$101,MATCH($E660,销售员主数据!$A$2:$A$101,0)),"")</f>
        <v/>
      </c>
      <c r="G660" s="39">
        <f>IFERROR(INDEX(销售员主数据!$C$2:$C$101,MATCH($E660,销售员主数据!$A$2:$A$101,0)),"")</f>
        <v/>
      </c>
      <c r="H660" s="39">
        <f>IFERROR(INDEX(销售员主数据!$D$2:$D$101,MATCH($E660,销售员主数据!$A$2:$A$101,0)),"")</f>
        <v/>
      </c>
      <c r="I660" s="50" t="n"/>
      <c r="J660" s="50" t="n"/>
      <c r="K660" s="54" t="n"/>
      <c r="L660" s="55" t="n"/>
      <c r="M660" s="56" t="n"/>
      <c r="N660" s="57">
        <f>IF(COUNTBLANK(A660:L660)=12,"",1)</f>
        <v/>
      </c>
      <c r="O660" s="40" t="n"/>
    </row>
    <row r="661" ht="15" customHeight="1" s="34">
      <c r="A661" s="48" t="n"/>
      <c r="B661" s="41">
        <f>IF(A661="","",TEXT(A661,"mmm"))</f>
        <v/>
      </c>
      <c r="C661" s="41" t="n"/>
      <c r="D661" s="42" t="n"/>
      <c r="E661" s="41" t="n"/>
      <c r="F661" s="41">
        <f>IFERROR(INDEX(销售员主数据!$B$2:$B$101,MATCH($E661,销售员主数据!$A$2:$A$101,0)),"")</f>
        <v/>
      </c>
      <c r="G661" s="41">
        <f>IFERROR(INDEX(销售员主数据!$C$2:$C$101,MATCH($E661,销售员主数据!$A$2:$A$101,0)),"")</f>
        <v/>
      </c>
      <c r="H661" s="41">
        <f>IFERROR(INDEX(销售员主数据!$D$2:$D$101,MATCH($E661,销售员主数据!$A$2:$A$101,0)),"")</f>
        <v/>
      </c>
      <c r="I661" s="43" t="n"/>
      <c r="J661" s="43" t="n"/>
      <c r="K661" s="44" t="n"/>
      <c r="L661" s="58" t="n"/>
      <c r="M661" s="59" t="n"/>
      <c r="N661" s="60">
        <f>IF(COUNTBLANK(A661:L661)=12,"",1)</f>
        <v/>
      </c>
      <c r="O661" s="42" t="n"/>
    </row>
    <row r="662" ht="15" customHeight="1" s="34">
      <c r="A662" s="46" t="n"/>
      <c r="B662" s="39">
        <f>IF(A662="","",TEXT(A662,"mmm"))</f>
        <v/>
      </c>
      <c r="C662" s="39" t="n"/>
      <c r="D662" s="40" t="n"/>
      <c r="E662" s="39" t="n"/>
      <c r="F662" s="39">
        <f>IFERROR(INDEX(销售员主数据!$B$2:$B$101,MATCH($E662,销售员主数据!$A$2:$A$101,0)),"")</f>
        <v/>
      </c>
      <c r="G662" s="39">
        <f>IFERROR(INDEX(销售员主数据!$C$2:$C$101,MATCH($E662,销售员主数据!$A$2:$A$101,0)),"")</f>
        <v/>
      </c>
      <c r="H662" s="39">
        <f>IFERROR(INDEX(销售员主数据!$D$2:$D$101,MATCH($E662,销售员主数据!$A$2:$A$101,0)),"")</f>
        <v/>
      </c>
      <c r="I662" s="50" t="n"/>
      <c r="J662" s="50" t="n"/>
      <c r="K662" s="54" t="n"/>
      <c r="L662" s="55" t="n"/>
      <c r="M662" s="56" t="n"/>
      <c r="N662" s="57">
        <f>IF(COUNTBLANK(A662:L662)=12,"",1)</f>
        <v/>
      </c>
      <c r="O662" s="40" t="n"/>
    </row>
    <row r="663" ht="15" customHeight="1" s="34">
      <c r="A663" s="48" t="n"/>
      <c r="B663" s="41">
        <f>IF(A663="","",TEXT(A663,"mmm"))</f>
        <v/>
      </c>
      <c r="C663" s="41" t="n"/>
      <c r="D663" s="42" t="n"/>
      <c r="E663" s="41" t="n"/>
      <c r="F663" s="41">
        <f>IFERROR(INDEX(销售员主数据!$B$2:$B$101,MATCH($E663,销售员主数据!$A$2:$A$101,0)),"")</f>
        <v/>
      </c>
      <c r="G663" s="41">
        <f>IFERROR(INDEX(销售员主数据!$C$2:$C$101,MATCH($E663,销售员主数据!$A$2:$A$101,0)),"")</f>
        <v/>
      </c>
      <c r="H663" s="41">
        <f>IFERROR(INDEX(销售员主数据!$D$2:$D$101,MATCH($E663,销售员主数据!$A$2:$A$101,0)),"")</f>
        <v/>
      </c>
      <c r="I663" s="43" t="n"/>
      <c r="J663" s="43" t="n"/>
      <c r="K663" s="44" t="n"/>
      <c r="L663" s="58" t="n"/>
      <c r="M663" s="59" t="n"/>
      <c r="N663" s="60">
        <f>IF(COUNTBLANK(A663:L663)=12,"",1)</f>
        <v/>
      </c>
      <c r="O663" s="42" t="n"/>
    </row>
    <row r="664" ht="15" customHeight="1" s="34">
      <c r="A664" s="46" t="n"/>
      <c r="B664" s="39">
        <f>IF(A664="","",TEXT(A664,"mmm"))</f>
        <v/>
      </c>
      <c r="C664" s="39" t="n"/>
      <c r="D664" s="40" t="n"/>
      <c r="E664" s="39" t="n"/>
      <c r="F664" s="39">
        <f>IFERROR(INDEX(销售员主数据!$B$2:$B$101,MATCH($E664,销售员主数据!$A$2:$A$101,0)),"")</f>
        <v/>
      </c>
      <c r="G664" s="39">
        <f>IFERROR(INDEX(销售员主数据!$C$2:$C$101,MATCH($E664,销售员主数据!$A$2:$A$101,0)),"")</f>
        <v/>
      </c>
      <c r="H664" s="39">
        <f>IFERROR(INDEX(销售员主数据!$D$2:$D$101,MATCH($E664,销售员主数据!$A$2:$A$101,0)),"")</f>
        <v/>
      </c>
      <c r="I664" s="50" t="n"/>
      <c r="J664" s="50" t="n"/>
      <c r="K664" s="54" t="n"/>
      <c r="L664" s="55" t="n"/>
      <c r="M664" s="56" t="n"/>
      <c r="N664" s="57">
        <f>IF(COUNTBLANK(A664:L664)=12,"",1)</f>
        <v/>
      </c>
      <c r="O664" s="40" t="n"/>
    </row>
    <row r="665" ht="15" customHeight="1" s="34">
      <c r="A665" s="48" t="n"/>
      <c r="B665" s="41">
        <f>IF(A665="","",TEXT(A665,"mmm"))</f>
        <v/>
      </c>
      <c r="C665" s="41" t="n"/>
      <c r="D665" s="42" t="n"/>
      <c r="E665" s="41" t="n"/>
      <c r="F665" s="41">
        <f>IFERROR(INDEX(销售员主数据!$B$2:$B$101,MATCH($E665,销售员主数据!$A$2:$A$101,0)),"")</f>
        <v/>
      </c>
      <c r="G665" s="41">
        <f>IFERROR(INDEX(销售员主数据!$C$2:$C$101,MATCH($E665,销售员主数据!$A$2:$A$101,0)),"")</f>
        <v/>
      </c>
      <c r="H665" s="41">
        <f>IFERROR(INDEX(销售员主数据!$D$2:$D$101,MATCH($E665,销售员主数据!$A$2:$A$101,0)),"")</f>
        <v/>
      </c>
      <c r="I665" s="43" t="n"/>
      <c r="J665" s="43" t="n"/>
      <c r="K665" s="44" t="n"/>
      <c r="L665" s="58" t="n"/>
      <c r="M665" s="59" t="n"/>
      <c r="N665" s="60">
        <f>IF(COUNTBLANK(A665:L665)=12,"",1)</f>
        <v/>
      </c>
      <c r="O665" s="42" t="n"/>
    </row>
    <row r="666" ht="15" customHeight="1" s="34">
      <c r="A666" s="46" t="n"/>
      <c r="B666" s="39">
        <f>IF(A666="","",TEXT(A666,"mmm"))</f>
        <v/>
      </c>
      <c r="C666" s="39" t="n"/>
      <c r="D666" s="40" t="n"/>
      <c r="E666" s="39" t="n"/>
      <c r="F666" s="39">
        <f>IFERROR(INDEX(销售员主数据!$B$2:$B$101,MATCH($E666,销售员主数据!$A$2:$A$101,0)),"")</f>
        <v/>
      </c>
      <c r="G666" s="39">
        <f>IFERROR(INDEX(销售员主数据!$C$2:$C$101,MATCH($E666,销售员主数据!$A$2:$A$101,0)),"")</f>
        <v/>
      </c>
      <c r="H666" s="39">
        <f>IFERROR(INDEX(销售员主数据!$D$2:$D$101,MATCH($E666,销售员主数据!$A$2:$A$101,0)),"")</f>
        <v/>
      </c>
      <c r="I666" s="50" t="n"/>
      <c r="J666" s="50" t="n"/>
      <c r="K666" s="54" t="n"/>
      <c r="L666" s="55" t="n"/>
      <c r="M666" s="56" t="n"/>
      <c r="N666" s="57">
        <f>IF(COUNTBLANK(A666:L666)=12,"",1)</f>
        <v/>
      </c>
      <c r="O666" s="40" t="n"/>
    </row>
    <row r="667" ht="15" customHeight="1" s="34">
      <c r="A667" s="48" t="n"/>
      <c r="B667" s="41">
        <f>IF(A667="","",TEXT(A667,"mmm"))</f>
        <v/>
      </c>
      <c r="C667" s="41" t="n"/>
      <c r="D667" s="42" t="n"/>
      <c r="E667" s="41" t="n"/>
      <c r="F667" s="41">
        <f>IFERROR(INDEX(销售员主数据!$B$2:$B$101,MATCH($E667,销售员主数据!$A$2:$A$101,0)),"")</f>
        <v/>
      </c>
      <c r="G667" s="41">
        <f>IFERROR(INDEX(销售员主数据!$C$2:$C$101,MATCH($E667,销售员主数据!$A$2:$A$101,0)),"")</f>
        <v/>
      </c>
      <c r="H667" s="41">
        <f>IFERROR(INDEX(销售员主数据!$D$2:$D$101,MATCH($E667,销售员主数据!$A$2:$A$101,0)),"")</f>
        <v/>
      </c>
      <c r="I667" s="43" t="n"/>
      <c r="J667" s="43" t="n"/>
      <c r="K667" s="44" t="n"/>
      <c r="L667" s="58" t="n"/>
      <c r="M667" s="59" t="n"/>
      <c r="N667" s="60">
        <f>IF(COUNTBLANK(A667:L667)=12,"",1)</f>
        <v/>
      </c>
      <c r="O667" s="42" t="n"/>
    </row>
    <row r="668" ht="15" customHeight="1" s="34">
      <c r="A668" s="46" t="n"/>
      <c r="B668" s="39">
        <f>IF(A668="","",TEXT(A668,"mmm"))</f>
        <v/>
      </c>
      <c r="C668" s="39" t="n"/>
      <c r="D668" s="40" t="n"/>
      <c r="E668" s="39" t="n"/>
      <c r="F668" s="39">
        <f>IFERROR(INDEX(销售员主数据!$B$2:$B$101,MATCH($E668,销售员主数据!$A$2:$A$101,0)),"")</f>
        <v/>
      </c>
      <c r="G668" s="39">
        <f>IFERROR(INDEX(销售员主数据!$C$2:$C$101,MATCH($E668,销售员主数据!$A$2:$A$101,0)),"")</f>
        <v/>
      </c>
      <c r="H668" s="39">
        <f>IFERROR(INDEX(销售员主数据!$D$2:$D$101,MATCH($E668,销售员主数据!$A$2:$A$101,0)),"")</f>
        <v/>
      </c>
      <c r="I668" s="50" t="n"/>
      <c r="J668" s="50" t="n"/>
      <c r="K668" s="54" t="n"/>
      <c r="L668" s="55" t="n"/>
      <c r="M668" s="56" t="n"/>
      <c r="N668" s="57">
        <f>IF(COUNTBLANK(A668:L668)=12,"",1)</f>
        <v/>
      </c>
      <c r="O668" s="40" t="n"/>
    </row>
    <row r="669" ht="15" customHeight="1" s="34">
      <c r="A669" s="48" t="n"/>
      <c r="B669" s="41">
        <f>IF(A669="","",TEXT(A669,"mmm"))</f>
        <v/>
      </c>
      <c r="C669" s="41" t="n"/>
      <c r="D669" s="42" t="n"/>
      <c r="E669" s="41" t="n"/>
      <c r="F669" s="41">
        <f>IFERROR(INDEX(销售员主数据!$B$2:$B$101,MATCH($E669,销售员主数据!$A$2:$A$101,0)),"")</f>
        <v/>
      </c>
      <c r="G669" s="41">
        <f>IFERROR(INDEX(销售员主数据!$C$2:$C$101,MATCH($E669,销售员主数据!$A$2:$A$101,0)),"")</f>
        <v/>
      </c>
      <c r="H669" s="41">
        <f>IFERROR(INDEX(销售员主数据!$D$2:$D$101,MATCH($E669,销售员主数据!$A$2:$A$101,0)),"")</f>
        <v/>
      </c>
      <c r="I669" s="43" t="n"/>
      <c r="J669" s="43" t="n"/>
      <c r="K669" s="44" t="n"/>
      <c r="L669" s="58" t="n"/>
      <c r="M669" s="59" t="n"/>
      <c r="N669" s="60">
        <f>IF(COUNTBLANK(A669:L669)=12,"",1)</f>
        <v/>
      </c>
      <c r="O669" s="42" t="n"/>
    </row>
    <row r="670" ht="15" customHeight="1" s="34">
      <c r="A670" s="46" t="n"/>
      <c r="B670" s="39">
        <f>IF(A670="","",TEXT(A670,"mmm"))</f>
        <v/>
      </c>
      <c r="C670" s="39" t="n"/>
      <c r="D670" s="40" t="n"/>
      <c r="E670" s="39" t="n"/>
      <c r="F670" s="39">
        <f>IFERROR(INDEX(销售员主数据!$B$2:$B$101,MATCH($E670,销售员主数据!$A$2:$A$101,0)),"")</f>
        <v/>
      </c>
      <c r="G670" s="39">
        <f>IFERROR(INDEX(销售员主数据!$C$2:$C$101,MATCH($E670,销售员主数据!$A$2:$A$101,0)),"")</f>
        <v/>
      </c>
      <c r="H670" s="39">
        <f>IFERROR(INDEX(销售员主数据!$D$2:$D$101,MATCH($E670,销售员主数据!$A$2:$A$101,0)),"")</f>
        <v/>
      </c>
      <c r="I670" s="50" t="n"/>
      <c r="J670" s="50" t="n"/>
      <c r="K670" s="54" t="n"/>
      <c r="L670" s="55" t="n"/>
      <c r="M670" s="56" t="n"/>
      <c r="N670" s="57">
        <f>IF(COUNTBLANK(A670:L670)=12,"",1)</f>
        <v/>
      </c>
      <c r="O670" s="40" t="n"/>
    </row>
    <row r="671" ht="15" customHeight="1" s="34">
      <c r="A671" s="48" t="n"/>
      <c r="B671" s="41">
        <f>IF(A671="","",TEXT(A671,"mmm"))</f>
        <v/>
      </c>
      <c r="C671" s="41" t="n"/>
      <c r="D671" s="42" t="n"/>
      <c r="E671" s="41" t="n"/>
      <c r="F671" s="41">
        <f>IFERROR(INDEX(销售员主数据!$B$2:$B$101,MATCH($E671,销售员主数据!$A$2:$A$101,0)),"")</f>
        <v/>
      </c>
      <c r="G671" s="41">
        <f>IFERROR(INDEX(销售员主数据!$C$2:$C$101,MATCH($E671,销售员主数据!$A$2:$A$101,0)),"")</f>
        <v/>
      </c>
      <c r="H671" s="41">
        <f>IFERROR(INDEX(销售员主数据!$D$2:$D$101,MATCH($E671,销售员主数据!$A$2:$A$101,0)),"")</f>
        <v/>
      </c>
      <c r="I671" s="43" t="n"/>
      <c r="J671" s="43" t="n"/>
      <c r="K671" s="44" t="n"/>
      <c r="L671" s="58" t="n"/>
      <c r="M671" s="59" t="n"/>
      <c r="N671" s="60">
        <f>IF(COUNTBLANK(A671:L671)=12,"",1)</f>
        <v/>
      </c>
      <c r="O671" s="42" t="n"/>
    </row>
    <row r="672" ht="15" customHeight="1" s="34">
      <c r="A672" s="46" t="n"/>
      <c r="B672" s="39">
        <f>IF(A672="","",TEXT(A672,"mmm"))</f>
        <v/>
      </c>
      <c r="C672" s="39" t="n"/>
      <c r="D672" s="40" t="n"/>
      <c r="E672" s="39" t="n"/>
      <c r="F672" s="39">
        <f>IFERROR(INDEX(销售员主数据!$B$2:$B$101,MATCH($E672,销售员主数据!$A$2:$A$101,0)),"")</f>
        <v/>
      </c>
      <c r="G672" s="39">
        <f>IFERROR(INDEX(销售员主数据!$C$2:$C$101,MATCH($E672,销售员主数据!$A$2:$A$101,0)),"")</f>
        <v/>
      </c>
      <c r="H672" s="39">
        <f>IFERROR(INDEX(销售员主数据!$D$2:$D$101,MATCH($E672,销售员主数据!$A$2:$A$101,0)),"")</f>
        <v/>
      </c>
      <c r="I672" s="50" t="n"/>
      <c r="J672" s="50" t="n"/>
      <c r="K672" s="54" t="n"/>
      <c r="L672" s="55" t="n"/>
      <c r="M672" s="56" t="n"/>
      <c r="N672" s="57">
        <f>IF(COUNTBLANK(A672:L672)=12,"",1)</f>
        <v/>
      </c>
      <c r="O672" s="40" t="n"/>
    </row>
    <row r="673" ht="15" customHeight="1" s="34">
      <c r="A673" s="48" t="n"/>
      <c r="B673" s="41">
        <f>IF(A673="","",TEXT(A673,"mmm"))</f>
        <v/>
      </c>
      <c r="C673" s="41" t="n"/>
      <c r="D673" s="42" t="n"/>
      <c r="E673" s="41" t="n"/>
      <c r="F673" s="41">
        <f>IFERROR(INDEX(销售员主数据!$B$2:$B$101,MATCH($E673,销售员主数据!$A$2:$A$101,0)),"")</f>
        <v/>
      </c>
      <c r="G673" s="41">
        <f>IFERROR(INDEX(销售员主数据!$C$2:$C$101,MATCH($E673,销售员主数据!$A$2:$A$101,0)),"")</f>
        <v/>
      </c>
      <c r="H673" s="41">
        <f>IFERROR(INDEX(销售员主数据!$D$2:$D$101,MATCH($E673,销售员主数据!$A$2:$A$101,0)),"")</f>
        <v/>
      </c>
      <c r="I673" s="43" t="n"/>
      <c r="J673" s="43" t="n"/>
      <c r="K673" s="44" t="n"/>
      <c r="L673" s="58" t="n"/>
      <c r="M673" s="59" t="n"/>
      <c r="N673" s="60">
        <f>IF(COUNTBLANK(A673:L673)=12,"",1)</f>
        <v/>
      </c>
      <c r="O673" s="42" t="n"/>
    </row>
    <row r="674" ht="15" customHeight="1" s="34">
      <c r="A674" s="46" t="n"/>
      <c r="B674" s="39">
        <f>IF(A674="","",TEXT(A674,"mmm"))</f>
        <v/>
      </c>
      <c r="C674" s="39" t="n"/>
      <c r="D674" s="40" t="n"/>
      <c r="E674" s="39" t="n"/>
      <c r="F674" s="39">
        <f>IFERROR(INDEX(销售员主数据!$B$2:$B$101,MATCH($E674,销售员主数据!$A$2:$A$101,0)),"")</f>
        <v/>
      </c>
      <c r="G674" s="39">
        <f>IFERROR(INDEX(销售员主数据!$C$2:$C$101,MATCH($E674,销售员主数据!$A$2:$A$101,0)),"")</f>
        <v/>
      </c>
      <c r="H674" s="39">
        <f>IFERROR(INDEX(销售员主数据!$D$2:$D$101,MATCH($E674,销售员主数据!$A$2:$A$101,0)),"")</f>
        <v/>
      </c>
      <c r="I674" s="50" t="n"/>
      <c r="J674" s="50" t="n"/>
      <c r="K674" s="54" t="n"/>
      <c r="L674" s="55" t="n"/>
      <c r="M674" s="56" t="n"/>
      <c r="N674" s="57">
        <f>IF(COUNTBLANK(A674:L674)=12,"",1)</f>
        <v/>
      </c>
      <c r="O674" s="40" t="n"/>
    </row>
    <row r="675" ht="15" customHeight="1" s="34">
      <c r="A675" s="48" t="n"/>
      <c r="B675" s="41">
        <f>IF(A675="","",TEXT(A675,"mmm"))</f>
        <v/>
      </c>
      <c r="C675" s="41" t="n"/>
      <c r="D675" s="42" t="n"/>
      <c r="E675" s="41" t="n"/>
      <c r="F675" s="41">
        <f>IFERROR(INDEX(销售员主数据!$B$2:$B$101,MATCH($E675,销售员主数据!$A$2:$A$101,0)),"")</f>
        <v/>
      </c>
      <c r="G675" s="41">
        <f>IFERROR(INDEX(销售员主数据!$C$2:$C$101,MATCH($E675,销售员主数据!$A$2:$A$101,0)),"")</f>
        <v/>
      </c>
      <c r="H675" s="41">
        <f>IFERROR(INDEX(销售员主数据!$D$2:$D$101,MATCH($E675,销售员主数据!$A$2:$A$101,0)),"")</f>
        <v/>
      </c>
      <c r="I675" s="43" t="n"/>
      <c r="J675" s="43" t="n"/>
      <c r="K675" s="44" t="n"/>
      <c r="L675" s="58" t="n"/>
      <c r="M675" s="59" t="n"/>
      <c r="N675" s="60">
        <f>IF(COUNTBLANK(A675:L675)=12,"",1)</f>
        <v/>
      </c>
      <c r="O675" s="42" t="n"/>
    </row>
    <row r="676" ht="15" customHeight="1" s="34">
      <c r="A676" s="46" t="n"/>
      <c r="B676" s="39">
        <f>IF(A676="","",TEXT(A676,"mmm"))</f>
        <v/>
      </c>
      <c r="C676" s="39" t="n"/>
      <c r="D676" s="40" t="n"/>
      <c r="E676" s="39" t="n"/>
      <c r="F676" s="39">
        <f>IFERROR(INDEX(销售员主数据!$B$2:$B$101,MATCH($E676,销售员主数据!$A$2:$A$101,0)),"")</f>
        <v/>
      </c>
      <c r="G676" s="39">
        <f>IFERROR(INDEX(销售员主数据!$C$2:$C$101,MATCH($E676,销售员主数据!$A$2:$A$101,0)),"")</f>
        <v/>
      </c>
      <c r="H676" s="39">
        <f>IFERROR(INDEX(销售员主数据!$D$2:$D$101,MATCH($E676,销售员主数据!$A$2:$A$101,0)),"")</f>
        <v/>
      </c>
      <c r="I676" s="50" t="n"/>
      <c r="J676" s="50" t="n"/>
      <c r="K676" s="54" t="n"/>
      <c r="L676" s="55" t="n"/>
      <c r="M676" s="56" t="n"/>
      <c r="N676" s="57">
        <f>IF(COUNTBLANK(A676:L676)=12,"",1)</f>
        <v/>
      </c>
      <c r="O676" s="40" t="n"/>
    </row>
    <row r="677" ht="15" customHeight="1" s="34">
      <c r="A677" s="48" t="n"/>
      <c r="B677" s="41">
        <f>IF(A677="","",TEXT(A677,"mmm"))</f>
        <v/>
      </c>
      <c r="C677" s="41" t="n"/>
      <c r="D677" s="42" t="n"/>
      <c r="E677" s="41" t="n"/>
      <c r="F677" s="41">
        <f>IFERROR(INDEX(销售员主数据!$B$2:$B$101,MATCH($E677,销售员主数据!$A$2:$A$101,0)),"")</f>
        <v/>
      </c>
      <c r="G677" s="41">
        <f>IFERROR(INDEX(销售员主数据!$C$2:$C$101,MATCH($E677,销售员主数据!$A$2:$A$101,0)),"")</f>
        <v/>
      </c>
      <c r="H677" s="41">
        <f>IFERROR(INDEX(销售员主数据!$D$2:$D$101,MATCH($E677,销售员主数据!$A$2:$A$101,0)),"")</f>
        <v/>
      </c>
      <c r="I677" s="43" t="n"/>
      <c r="J677" s="43" t="n"/>
      <c r="K677" s="44" t="n"/>
      <c r="L677" s="58" t="n"/>
      <c r="M677" s="59" t="n"/>
      <c r="N677" s="60">
        <f>IF(COUNTBLANK(A677:L677)=12,"",1)</f>
        <v/>
      </c>
      <c r="O677" s="42" t="n"/>
    </row>
    <row r="678" ht="15" customHeight="1" s="34">
      <c r="A678" s="46" t="n"/>
      <c r="B678" s="39">
        <f>IF(A678="","",TEXT(A678,"mmm"))</f>
        <v/>
      </c>
      <c r="C678" s="39" t="n"/>
      <c r="D678" s="40" t="n"/>
      <c r="E678" s="39" t="n"/>
      <c r="F678" s="39">
        <f>IFERROR(INDEX(销售员主数据!$B$2:$B$101,MATCH($E678,销售员主数据!$A$2:$A$101,0)),"")</f>
        <v/>
      </c>
      <c r="G678" s="39">
        <f>IFERROR(INDEX(销售员主数据!$C$2:$C$101,MATCH($E678,销售员主数据!$A$2:$A$101,0)),"")</f>
        <v/>
      </c>
      <c r="H678" s="39">
        <f>IFERROR(INDEX(销售员主数据!$D$2:$D$101,MATCH($E678,销售员主数据!$A$2:$A$101,0)),"")</f>
        <v/>
      </c>
      <c r="I678" s="50" t="n"/>
      <c r="J678" s="50" t="n"/>
      <c r="K678" s="54" t="n"/>
      <c r="L678" s="55" t="n"/>
      <c r="M678" s="56" t="n"/>
      <c r="N678" s="57">
        <f>IF(COUNTBLANK(A678:L678)=12,"",1)</f>
        <v/>
      </c>
      <c r="O678" s="40" t="n"/>
    </row>
    <row r="679" ht="15" customHeight="1" s="34">
      <c r="A679" s="48" t="n"/>
      <c r="B679" s="41">
        <f>IF(A679="","",TEXT(A679,"mmm"))</f>
        <v/>
      </c>
      <c r="C679" s="41" t="n"/>
      <c r="D679" s="42" t="n"/>
      <c r="E679" s="41" t="n"/>
      <c r="F679" s="41">
        <f>IFERROR(INDEX(销售员主数据!$B$2:$B$101,MATCH($E679,销售员主数据!$A$2:$A$101,0)),"")</f>
        <v/>
      </c>
      <c r="G679" s="41">
        <f>IFERROR(INDEX(销售员主数据!$C$2:$C$101,MATCH($E679,销售员主数据!$A$2:$A$101,0)),"")</f>
        <v/>
      </c>
      <c r="H679" s="41">
        <f>IFERROR(INDEX(销售员主数据!$D$2:$D$101,MATCH($E679,销售员主数据!$A$2:$A$101,0)),"")</f>
        <v/>
      </c>
      <c r="I679" s="43" t="n"/>
      <c r="J679" s="43" t="n"/>
      <c r="K679" s="44" t="n"/>
      <c r="L679" s="58" t="n"/>
      <c r="M679" s="59" t="n"/>
      <c r="N679" s="60">
        <f>IF(COUNTBLANK(A679:L679)=12,"",1)</f>
        <v/>
      </c>
      <c r="O679" s="42" t="n"/>
    </row>
    <row r="680" ht="15" customHeight="1" s="34">
      <c r="A680" s="46" t="n"/>
      <c r="B680" s="39">
        <f>IF(A680="","",TEXT(A680,"mmm"))</f>
        <v/>
      </c>
      <c r="C680" s="39" t="n"/>
      <c r="D680" s="40" t="n"/>
      <c r="E680" s="39" t="n"/>
      <c r="F680" s="39">
        <f>IFERROR(INDEX(销售员主数据!$B$2:$B$101,MATCH($E680,销售员主数据!$A$2:$A$101,0)),"")</f>
        <v/>
      </c>
      <c r="G680" s="39">
        <f>IFERROR(INDEX(销售员主数据!$C$2:$C$101,MATCH($E680,销售员主数据!$A$2:$A$101,0)),"")</f>
        <v/>
      </c>
      <c r="H680" s="39">
        <f>IFERROR(INDEX(销售员主数据!$D$2:$D$101,MATCH($E680,销售员主数据!$A$2:$A$101,0)),"")</f>
        <v/>
      </c>
      <c r="I680" s="50" t="n"/>
      <c r="J680" s="50" t="n"/>
      <c r="K680" s="54" t="n"/>
      <c r="L680" s="55" t="n"/>
      <c r="M680" s="56" t="n"/>
      <c r="N680" s="57">
        <f>IF(COUNTBLANK(A680:L680)=12,"",1)</f>
        <v/>
      </c>
      <c r="O680" s="40" t="n"/>
    </row>
    <row r="681" ht="15" customHeight="1" s="34">
      <c r="A681" s="48" t="n"/>
      <c r="B681" s="41">
        <f>IF(A681="","",TEXT(A681,"mmm"))</f>
        <v/>
      </c>
      <c r="C681" s="41" t="n"/>
      <c r="D681" s="42" t="n"/>
      <c r="E681" s="41" t="n"/>
      <c r="F681" s="41">
        <f>IFERROR(INDEX(销售员主数据!$B$2:$B$101,MATCH($E681,销售员主数据!$A$2:$A$101,0)),"")</f>
        <v/>
      </c>
      <c r="G681" s="41">
        <f>IFERROR(INDEX(销售员主数据!$C$2:$C$101,MATCH($E681,销售员主数据!$A$2:$A$101,0)),"")</f>
        <v/>
      </c>
      <c r="H681" s="41">
        <f>IFERROR(INDEX(销售员主数据!$D$2:$D$101,MATCH($E681,销售员主数据!$A$2:$A$101,0)),"")</f>
        <v/>
      </c>
      <c r="I681" s="43" t="n"/>
      <c r="J681" s="43" t="n"/>
      <c r="K681" s="44" t="n"/>
      <c r="L681" s="58" t="n"/>
      <c r="M681" s="59" t="n"/>
      <c r="N681" s="60">
        <f>IF(COUNTBLANK(A681:L681)=12,"",1)</f>
        <v/>
      </c>
      <c r="O681" s="42" t="n"/>
    </row>
    <row r="682" ht="15" customHeight="1" s="34">
      <c r="A682" s="46" t="n"/>
      <c r="B682" s="39">
        <f>IF(A682="","",TEXT(A682,"mmm"))</f>
        <v/>
      </c>
      <c r="C682" s="39" t="n"/>
      <c r="D682" s="40" t="n"/>
      <c r="E682" s="39" t="n"/>
      <c r="F682" s="39">
        <f>IFERROR(INDEX(销售员主数据!$B$2:$B$101,MATCH($E682,销售员主数据!$A$2:$A$101,0)),"")</f>
        <v/>
      </c>
      <c r="G682" s="39">
        <f>IFERROR(INDEX(销售员主数据!$C$2:$C$101,MATCH($E682,销售员主数据!$A$2:$A$101,0)),"")</f>
        <v/>
      </c>
      <c r="H682" s="39">
        <f>IFERROR(INDEX(销售员主数据!$D$2:$D$101,MATCH($E682,销售员主数据!$A$2:$A$101,0)),"")</f>
        <v/>
      </c>
      <c r="I682" s="50" t="n"/>
      <c r="J682" s="50" t="n"/>
      <c r="K682" s="54" t="n"/>
      <c r="L682" s="55" t="n"/>
      <c r="M682" s="56" t="n"/>
      <c r="N682" s="57">
        <f>IF(COUNTBLANK(A682:L682)=12,"",1)</f>
        <v/>
      </c>
      <c r="O682" s="40" t="n"/>
    </row>
    <row r="683" ht="15" customHeight="1" s="34">
      <c r="A683" s="48" t="n"/>
      <c r="B683" s="41">
        <f>IF(A683="","",TEXT(A683,"mmm"))</f>
        <v/>
      </c>
      <c r="C683" s="41" t="n"/>
      <c r="D683" s="42" t="n"/>
      <c r="E683" s="41" t="n"/>
      <c r="F683" s="41">
        <f>IFERROR(INDEX(销售员主数据!$B$2:$B$101,MATCH($E683,销售员主数据!$A$2:$A$101,0)),"")</f>
        <v/>
      </c>
      <c r="G683" s="41">
        <f>IFERROR(INDEX(销售员主数据!$C$2:$C$101,MATCH($E683,销售员主数据!$A$2:$A$101,0)),"")</f>
        <v/>
      </c>
      <c r="H683" s="41">
        <f>IFERROR(INDEX(销售员主数据!$D$2:$D$101,MATCH($E683,销售员主数据!$A$2:$A$101,0)),"")</f>
        <v/>
      </c>
      <c r="I683" s="43" t="n"/>
      <c r="J683" s="43" t="n"/>
      <c r="K683" s="44" t="n"/>
      <c r="L683" s="58" t="n"/>
      <c r="M683" s="59" t="n"/>
      <c r="N683" s="60">
        <f>IF(COUNTBLANK(A683:L683)=12,"",1)</f>
        <v/>
      </c>
      <c r="O683" s="42" t="n"/>
    </row>
    <row r="684" ht="15" customHeight="1" s="34">
      <c r="A684" s="46" t="n"/>
      <c r="B684" s="39">
        <f>IF(A684="","",TEXT(A684,"mmm"))</f>
        <v/>
      </c>
      <c r="C684" s="39" t="n"/>
      <c r="D684" s="40" t="n"/>
      <c r="E684" s="39" t="n"/>
      <c r="F684" s="39">
        <f>IFERROR(INDEX(销售员主数据!$B$2:$B$101,MATCH($E684,销售员主数据!$A$2:$A$101,0)),"")</f>
        <v/>
      </c>
      <c r="G684" s="39">
        <f>IFERROR(INDEX(销售员主数据!$C$2:$C$101,MATCH($E684,销售员主数据!$A$2:$A$101,0)),"")</f>
        <v/>
      </c>
      <c r="H684" s="39">
        <f>IFERROR(INDEX(销售员主数据!$D$2:$D$101,MATCH($E684,销售员主数据!$A$2:$A$101,0)),"")</f>
        <v/>
      </c>
      <c r="I684" s="50" t="n"/>
      <c r="J684" s="50" t="n"/>
      <c r="K684" s="54" t="n"/>
      <c r="L684" s="55" t="n"/>
      <c r="M684" s="56" t="n"/>
      <c r="N684" s="57">
        <f>IF(COUNTBLANK(A684:L684)=12,"",1)</f>
        <v/>
      </c>
      <c r="O684" s="40" t="n"/>
    </row>
    <row r="685" ht="15" customHeight="1" s="34">
      <c r="A685" s="48" t="n"/>
      <c r="B685" s="41">
        <f>IF(A685="","",TEXT(A685,"mmm"))</f>
        <v/>
      </c>
      <c r="C685" s="41" t="n"/>
      <c r="D685" s="42" t="n"/>
      <c r="E685" s="41" t="n"/>
      <c r="F685" s="41">
        <f>IFERROR(INDEX(销售员主数据!$B$2:$B$101,MATCH($E685,销售员主数据!$A$2:$A$101,0)),"")</f>
        <v/>
      </c>
      <c r="G685" s="41">
        <f>IFERROR(INDEX(销售员主数据!$C$2:$C$101,MATCH($E685,销售员主数据!$A$2:$A$101,0)),"")</f>
        <v/>
      </c>
      <c r="H685" s="41">
        <f>IFERROR(INDEX(销售员主数据!$D$2:$D$101,MATCH($E685,销售员主数据!$A$2:$A$101,0)),"")</f>
        <v/>
      </c>
      <c r="I685" s="43" t="n"/>
      <c r="J685" s="43" t="n"/>
      <c r="K685" s="44" t="n"/>
      <c r="L685" s="58" t="n"/>
      <c r="M685" s="59" t="n"/>
      <c r="N685" s="60">
        <f>IF(COUNTBLANK(A685:L685)=12,"",1)</f>
        <v/>
      </c>
      <c r="O685" s="42" t="n"/>
    </row>
    <row r="686" ht="15" customHeight="1" s="34">
      <c r="A686" s="46" t="n"/>
      <c r="B686" s="39">
        <f>IF(A686="","",TEXT(A686,"mmm"))</f>
        <v/>
      </c>
      <c r="C686" s="39" t="n"/>
      <c r="D686" s="40" t="n"/>
      <c r="E686" s="39" t="n"/>
      <c r="F686" s="39">
        <f>IFERROR(INDEX(销售员主数据!$B$2:$B$101,MATCH($E686,销售员主数据!$A$2:$A$101,0)),"")</f>
        <v/>
      </c>
      <c r="G686" s="39">
        <f>IFERROR(INDEX(销售员主数据!$C$2:$C$101,MATCH($E686,销售员主数据!$A$2:$A$101,0)),"")</f>
        <v/>
      </c>
      <c r="H686" s="39">
        <f>IFERROR(INDEX(销售员主数据!$D$2:$D$101,MATCH($E686,销售员主数据!$A$2:$A$101,0)),"")</f>
        <v/>
      </c>
      <c r="I686" s="50" t="n"/>
      <c r="J686" s="50" t="n"/>
      <c r="K686" s="54" t="n"/>
      <c r="L686" s="55" t="n"/>
      <c r="M686" s="56" t="n"/>
      <c r="N686" s="57">
        <f>IF(COUNTBLANK(A686:L686)=12,"",1)</f>
        <v/>
      </c>
      <c r="O686" s="40" t="n"/>
    </row>
    <row r="687" ht="15" customHeight="1" s="34">
      <c r="A687" s="48" t="n"/>
      <c r="B687" s="41">
        <f>IF(A687="","",TEXT(A687,"mmm"))</f>
        <v/>
      </c>
      <c r="C687" s="41" t="n"/>
      <c r="D687" s="42" t="n"/>
      <c r="E687" s="41" t="n"/>
      <c r="F687" s="41">
        <f>IFERROR(INDEX(销售员主数据!$B$2:$B$101,MATCH($E687,销售员主数据!$A$2:$A$101,0)),"")</f>
        <v/>
      </c>
      <c r="G687" s="41">
        <f>IFERROR(INDEX(销售员主数据!$C$2:$C$101,MATCH($E687,销售员主数据!$A$2:$A$101,0)),"")</f>
        <v/>
      </c>
      <c r="H687" s="41">
        <f>IFERROR(INDEX(销售员主数据!$D$2:$D$101,MATCH($E687,销售员主数据!$A$2:$A$101,0)),"")</f>
        <v/>
      </c>
      <c r="I687" s="43" t="n"/>
      <c r="J687" s="43" t="n"/>
      <c r="K687" s="44" t="n"/>
      <c r="L687" s="58" t="n"/>
      <c r="M687" s="59" t="n"/>
      <c r="N687" s="60">
        <f>IF(COUNTBLANK(A687:L687)=12,"",1)</f>
        <v/>
      </c>
      <c r="O687" s="42" t="n"/>
    </row>
    <row r="688" ht="15" customHeight="1" s="34">
      <c r="A688" s="46" t="n"/>
      <c r="B688" s="39">
        <f>IF(A688="","",TEXT(A688,"mmm"))</f>
        <v/>
      </c>
      <c r="C688" s="39" t="n"/>
      <c r="D688" s="40" t="n"/>
      <c r="E688" s="39" t="n"/>
      <c r="F688" s="39">
        <f>IFERROR(INDEX(销售员主数据!$B$2:$B$101,MATCH($E688,销售员主数据!$A$2:$A$101,0)),"")</f>
        <v/>
      </c>
      <c r="G688" s="39">
        <f>IFERROR(INDEX(销售员主数据!$C$2:$C$101,MATCH($E688,销售员主数据!$A$2:$A$101,0)),"")</f>
        <v/>
      </c>
      <c r="H688" s="39">
        <f>IFERROR(INDEX(销售员主数据!$D$2:$D$101,MATCH($E688,销售员主数据!$A$2:$A$101,0)),"")</f>
        <v/>
      </c>
      <c r="I688" s="50" t="n"/>
      <c r="J688" s="50" t="n"/>
      <c r="K688" s="54" t="n"/>
      <c r="L688" s="55" t="n"/>
      <c r="M688" s="56" t="n"/>
      <c r="N688" s="57">
        <f>IF(COUNTBLANK(A688:L688)=12,"",1)</f>
        <v/>
      </c>
      <c r="O688" s="40" t="n"/>
    </row>
    <row r="689" ht="15" customHeight="1" s="34">
      <c r="A689" s="48" t="n"/>
      <c r="B689" s="41">
        <f>IF(A689="","",TEXT(A689,"mmm"))</f>
        <v/>
      </c>
      <c r="C689" s="41" t="n"/>
      <c r="D689" s="42" t="n"/>
      <c r="E689" s="41" t="n"/>
      <c r="F689" s="41">
        <f>IFERROR(INDEX(销售员主数据!$B$2:$B$101,MATCH($E689,销售员主数据!$A$2:$A$101,0)),"")</f>
        <v/>
      </c>
      <c r="G689" s="41">
        <f>IFERROR(INDEX(销售员主数据!$C$2:$C$101,MATCH($E689,销售员主数据!$A$2:$A$101,0)),"")</f>
        <v/>
      </c>
      <c r="H689" s="41">
        <f>IFERROR(INDEX(销售员主数据!$D$2:$D$101,MATCH($E689,销售员主数据!$A$2:$A$101,0)),"")</f>
        <v/>
      </c>
      <c r="I689" s="43" t="n"/>
      <c r="J689" s="43" t="n"/>
      <c r="K689" s="44" t="n"/>
      <c r="L689" s="58" t="n"/>
      <c r="M689" s="59" t="n"/>
      <c r="N689" s="60">
        <f>IF(COUNTBLANK(A689:L689)=12,"",1)</f>
        <v/>
      </c>
      <c r="O689" s="42" t="n"/>
    </row>
    <row r="690" ht="15" customHeight="1" s="34">
      <c r="A690" s="46" t="n"/>
      <c r="B690" s="39">
        <f>IF(A690="","",TEXT(A690,"mmm"))</f>
        <v/>
      </c>
      <c r="C690" s="39" t="n"/>
      <c r="D690" s="40" t="n"/>
      <c r="E690" s="39" t="n"/>
      <c r="F690" s="39">
        <f>IFERROR(INDEX(销售员主数据!$B$2:$B$101,MATCH($E690,销售员主数据!$A$2:$A$101,0)),"")</f>
        <v/>
      </c>
      <c r="G690" s="39">
        <f>IFERROR(INDEX(销售员主数据!$C$2:$C$101,MATCH($E690,销售员主数据!$A$2:$A$101,0)),"")</f>
        <v/>
      </c>
      <c r="H690" s="39">
        <f>IFERROR(INDEX(销售员主数据!$D$2:$D$101,MATCH($E690,销售员主数据!$A$2:$A$101,0)),"")</f>
        <v/>
      </c>
      <c r="I690" s="50" t="n"/>
      <c r="J690" s="50" t="n"/>
      <c r="K690" s="54" t="n"/>
      <c r="L690" s="55" t="n"/>
      <c r="M690" s="56" t="n"/>
      <c r="N690" s="57">
        <f>IF(COUNTBLANK(A690:L690)=12,"",1)</f>
        <v/>
      </c>
      <c r="O690" s="40" t="n"/>
    </row>
    <row r="691" ht="15" customHeight="1" s="34">
      <c r="A691" s="48" t="n"/>
      <c r="B691" s="41">
        <f>IF(A691="","",TEXT(A691,"mmm"))</f>
        <v/>
      </c>
      <c r="C691" s="41" t="n"/>
      <c r="D691" s="42" t="n"/>
      <c r="E691" s="41" t="n"/>
      <c r="F691" s="41">
        <f>IFERROR(INDEX(销售员主数据!$B$2:$B$101,MATCH($E691,销售员主数据!$A$2:$A$101,0)),"")</f>
        <v/>
      </c>
      <c r="G691" s="41">
        <f>IFERROR(INDEX(销售员主数据!$C$2:$C$101,MATCH($E691,销售员主数据!$A$2:$A$101,0)),"")</f>
        <v/>
      </c>
      <c r="H691" s="41">
        <f>IFERROR(INDEX(销售员主数据!$D$2:$D$101,MATCH($E691,销售员主数据!$A$2:$A$101,0)),"")</f>
        <v/>
      </c>
      <c r="I691" s="43" t="n"/>
      <c r="J691" s="43" t="n"/>
      <c r="K691" s="44" t="n"/>
      <c r="L691" s="58" t="n"/>
      <c r="M691" s="59" t="n"/>
      <c r="N691" s="60">
        <f>IF(COUNTBLANK(A691:L691)=12,"",1)</f>
        <v/>
      </c>
      <c r="O691" s="42" t="n"/>
    </row>
    <row r="692" ht="15" customHeight="1" s="34">
      <c r="A692" s="46" t="n"/>
      <c r="B692" s="39">
        <f>IF(A692="","",TEXT(A692,"mmm"))</f>
        <v/>
      </c>
      <c r="C692" s="39" t="n"/>
      <c r="D692" s="40" t="n"/>
      <c r="E692" s="39" t="n"/>
      <c r="F692" s="39">
        <f>IFERROR(INDEX(销售员主数据!$B$2:$B$101,MATCH($E692,销售员主数据!$A$2:$A$101,0)),"")</f>
        <v/>
      </c>
      <c r="G692" s="39">
        <f>IFERROR(INDEX(销售员主数据!$C$2:$C$101,MATCH($E692,销售员主数据!$A$2:$A$101,0)),"")</f>
        <v/>
      </c>
      <c r="H692" s="39">
        <f>IFERROR(INDEX(销售员主数据!$D$2:$D$101,MATCH($E692,销售员主数据!$A$2:$A$101,0)),"")</f>
        <v/>
      </c>
      <c r="I692" s="50" t="n"/>
      <c r="J692" s="50" t="n"/>
      <c r="K692" s="54" t="n"/>
      <c r="L692" s="55" t="n"/>
      <c r="M692" s="56" t="n"/>
      <c r="N692" s="57">
        <f>IF(COUNTBLANK(A692:L692)=12,"",1)</f>
        <v/>
      </c>
      <c r="O692" s="40" t="n"/>
    </row>
    <row r="693" ht="15" customHeight="1" s="34">
      <c r="A693" s="48" t="n"/>
      <c r="B693" s="41">
        <f>IF(A693="","",TEXT(A693,"mmm"))</f>
        <v/>
      </c>
      <c r="C693" s="41" t="n"/>
      <c r="D693" s="42" t="n"/>
      <c r="E693" s="41" t="n"/>
      <c r="F693" s="41">
        <f>IFERROR(INDEX(销售员主数据!$B$2:$B$101,MATCH($E693,销售员主数据!$A$2:$A$101,0)),"")</f>
        <v/>
      </c>
      <c r="G693" s="41">
        <f>IFERROR(INDEX(销售员主数据!$C$2:$C$101,MATCH($E693,销售员主数据!$A$2:$A$101,0)),"")</f>
        <v/>
      </c>
      <c r="H693" s="41">
        <f>IFERROR(INDEX(销售员主数据!$D$2:$D$101,MATCH($E693,销售员主数据!$A$2:$A$101,0)),"")</f>
        <v/>
      </c>
      <c r="I693" s="43" t="n"/>
      <c r="J693" s="43" t="n"/>
      <c r="K693" s="44" t="n"/>
      <c r="L693" s="58" t="n"/>
      <c r="M693" s="59" t="n"/>
      <c r="N693" s="60">
        <f>IF(COUNTBLANK(A693:L693)=12,"",1)</f>
        <v/>
      </c>
      <c r="O693" s="42" t="n"/>
    </row>
    <row r="694" ht="15" customHeight="1" s="34">
      <c r="A694" s="46" t="n"/>
      <c r="B694" s="39">
        <f>IF(A694="","",TEXT(A694,"mmm"))</f>
        <v/>
      </c>
      <c r="C694" s="39" t="n"/>
      <c r="D694" s="40" t="n"/>
      <c r="E694" s="39" t="n"/>
      <c r="F694" s="39">
        <f>IFERROR(INDEX(销售员主数据!$B$2:$B$101,MATCH($E694,销售员主数据!$A$2:$A$101,0)),"")</f>
        <v/>
      </c>
      <c r="G694" s="39">
        <f>IFERROR(INDEX(销售员主数据!$C$2:$C$101,MATCH($E694,销售员主数据!$A$2:$A$101,0)),"")</f>
        <v/>
      </c>
      <c r="H694" s="39">
        <f>IFERROR(INDEX(销售员主数据!$D$2:$D$101,MATCH($E694,销售员主数据!$A$2:$A$101,0)),"")</f>
        <v/>
      </c>
      <c r="I694" s="50" t="n"/>
      <c r="J694" s="50" t="n"/>
      <c r="K694" s="54" t="n"/>
      <c r="L694" s="55" t="n"/>
      <c r="M694" s="56" t="n"/>
      <c r="N694" s="57">
        <f>IF(COUNTBLANK(A694:L694)=12,"",1)</f>
        <v/>
      </c>
      <c r="O694" s="40" t="n"/>
    </row>
    <row r="695" ht="15" customHeight="1" s="34">
      <c r="A695" s="48" t="n"/>
      <c r="B695" s="41">
        <f>IF(A695="","",TEXT(A695,"mmm"))</f>
        <v/>
      </c>
      <c r="C695" s="41" t="n"/>
      <c r="D695" s="42" t="n"/>
      <c r="E695" s="41" t="n"/>
      <c r="F695" s="41">
        <f>IFERROR(INDEX(销售员主数据!$B$2:$B$101,MATCH($E695,销售员主数据!$A$2:$A$101,0)),"")</f>
        <v/>
      </c>
      <c r="G695" s="41">
        <f>IFERROR(INDEX(销售员主数据!$C$2:$C$101,MATCH($E695,销售员主数据!$A$2:$A$101,0)),"")</f>
        <v/>
      </c>
      <c r="H695" s="41">
        <f>IFERROR(INDEX(销售员主数据!$D$2:$D$101,MATCH($E695,销售员主数据!$A$2:$A$101,0)),"")</f>
        <v/>
      </c>
      <c r="I695" s="43" t="n"/>
      <c r="J695" s="43" t="n"/>
      <c r="K695" s="44" t="n"/>
      <c r="L695" s="58" t="n"/>
      <c r="M695" s="59" t="n"/>
      <c r="N695" s="60">
        <f>IF(COUNTBLANK(A695:L695)=12,"",1)</f>
        <v/>
      </c>
      <c r="O695" s="42" t="n"/>
    </row>
    <row r="696" ht="15" customHeight="1" s="34">
      <c r="A696" s="46" t="n"/>
      <c r="B696" s="39">
        <f>IF(A696="","",TEXT(A696,"mmm"))</f>
        <v/>
      </c>
      <c r="C696" s="39" t="n"/>
      <c r="D696" s="40" t="n"/>
      <c r="E696" s="39" t="n"/>
      <c r="F696" s="39">
        <f>IFERROR(INDEX(销售员主数据!$B$2:$B$101,MATCH($E696,销售员主数据!$A$2:$A$101,0)),"")</f>
        <v/>
      </c>
      <c r="G696" s="39">
        <f>IFERROR(INDEX(销售员主数据!$C$2:$C$101,MATCH($E696,销售员主数据!$A$2:$A$101,0)),"")</f>
        <v/>
      </c>
      <c r="H696" s="39">
        <f>IFERROR(INDEX(销售员主数据!$D$2:$D$101,MATCH($E696,销售员主数据!$A$2:$A$101,0)),"")</f>
        <v/>
      </c>
      <c r="I696" s="50" t="n"/>
      <c r="J696" s="50" t="n"/>
      <c r="K696" s="54" t="n"/>
      <c r="L696" s="55" t="n"/>
      <c r="M696" s="56" t="n"/>
      <c r="N696" s="57">
        <f>IF(COUNTBLANK(A696:L696)=12,"",1)</f>
        <v/>
      </c>
      <c r="O696" s="40" t="n"/>
    </row>
    <row r="697" ht="15" customHeight="1" s="34">
      <c r="A697" s="48" t="n"/>
      <c r="B697" s="41">
        <f>IF(A697="","",TEXT(A697,"mmm"))</f>
        <v/>
      </c>
      <c r="C697" s="41" t="n"/>
      <c r="D697" s="42" t="n"/>
      <c r="E697" s="41" t="n"/>
      <c r="F697" s="41">
        <f>IFERROR(INDEX(销售员主数据!$B$2:$B$101,MATCH($E697,销售员主数据!$A$2:$A$101,0)),"")</f>
        <v/>
      </c>
      <c r="G697" s="41">
        <f>IFERROR(INDEX(销售员主数据!$C$2:$C$101,MATCH($E697,销售员主数据!$A$2:$A$101,0)),"")</f>
        <v/>
      </c>
      <c r="H697" s="41">
        <f>IFERROR(INDEX(销售员主数据!$D$2:$D$101,MATCH($E697,销售员主数据!$A$2:$A$101,0)),"")</f>
        <v/>
      </c>
      <c r="I697" s="43" t="n"/>
      <c r="J697" s="43" t="n"/>
      <c r="K697" s="44" t="n"/>
      <c r="L697" s="58" t="n"/>
      <c r="M697" s="59" t="n"/>
      <c r="N697" s="60">
        <f>IF(COUNTBLANK(A697:L697)=12,"",1)</f>
        <v/>
      </c>
      <c r="O697" s="42" t="n"/>
    </row>
    <row r="698" ht="15" customHeight="1" s="34">
      <c r="A698" s="46" t="n"/>
      <c r="B698" s="39">
        <f>IF(A698="","",TEXT(A698,"mmm"))</f>
        <v/>
      </c>
      <c r="C698" s="39" t="n"/>
      <c r="D698" s="40" t="n"/>
      <c r="E698" s="39" t="n"/>
      <c r="F698" s="39">
        <f>IFERROR(INDEX(销售员主数据!$B$2:$B$101,MATCH($E698,销售员主数据!$A$2:$A$101,0)),"")</f>
        <v/>
      </c>
      <c r="G698" s="39">
        <f>IFERROR(INDEX(销售员主数据!$C$2:$C$101,MATCH($E698,销售员主数据!$A$2:$A$101,0)),"")</f>
        <v/>
      </c>
      <c r="H698" s="39">
        <f>IFERROR(INDEX(销售员主数据!$D$2:$D$101,MATCH($E698,销售员主数据!$A$2:$A$101,0)),"")</f>
        <v/>
      </c>
      <c r="I698" s="50" t="n"/>
      <c r="J698" s="50" t="n"/>
      <c r="K698" s="54" t="n"/>
      <c r="L698" s="55" t="n"/>
      <c r="M698" s="56" t="n"/>
      <c r="N698" s="57">
        <f>IF(COUNTBLANK(A698:L698)=12,"",1)</f>
        <v/>
      </c>
      <c r="O698" s="40" t="n"/>
    </row>
    <row r="699" ht="15" customHeight="1" s="34">
      <c r="A699" s="48" t="n"/>
      <c r="B699" s="41">
        <f>IF(A699="","",TEXT(A699,"mmm"))</f>
        <v/>
      </c>
      <c r="C699" s="41" t="n"/>
      <c r="D699" s="42" t="n"/>
      <c r="E699" s="41" t="n"/>
      <c r="F699" s="41">
        <f>IFERROR(INDEX(销售员主数据!$B$2:$B$101,MATCH($E699,销售员主数据!$A$2:$A$101,0)),"")</f>
        <v/>
      </c>
      <c r="G699" s="41">
        <f>IFERROR(INDEX(销售员主数据!$C$2:$C$101,MATCH($E699,销售员主数据!$A$2:$A$101,0)),"")</f>
        <v/>
      </c>
      <c r="H699" s="41">
        <f>IFERROR(INDEX(销售员主数据!$D$2:$D$101,MATCH($E699,销售员主数据!$A$2:$A$101,0)),"")</f>
        <v/>
      </c>
      <c r="I699" s="43" t="n"/>
      <c r="J699" s="43" t="n"/>
      <c r="K699" s="44" t="n"/>
      <c r="L699" s="58" t="n"/>
      <c r="M699" s="59" t="n"/>
      <c r="N699" s="60">
        <f>IF(COUNTBLANK(A699:L699)=12,"",1)</f>
        <v/>
      </c>
      <c r="O699" s="42" t="n"/>
    </row>
    <row r="700" ht="15" customHeight="1" s="34">
      <c r="A700" s="46" t="n"/>
      <c r="B700" s="39">
        <f>IF(A700="","",TEXT(A700,"mmm"))</f>
        <v/>
      </c>
      <c r="C700" s="39" t="n"/>
      <c r="D700" s="40" t="n"/>
      <c r="E700" s="39" t="n"/>
      <c r="F700" s="39">
        <f>IFERROR(INDEX(销售员主数据!$B$2:$B$101,MATCH($E700,销售员主数据!$A$2:$A$101,0)),"")</f>
        <v/>
      </c>
      <c r="G700" s="39">
        <f>IFERROR(INDEX(销售员主数据!$C$2:$C$101,MATCH($E700,销售员主数据!$A$2:$A$101,0)),"")</f>
        <v/>
      </c>
      <c r="H700" s="39">
        <f>IFERROR(INDEX(销售员主数据!$D$2:$D$101,MATCH($E700,销售员主数据!$A$2:$A$101,0)),"")</f>
        <v/>
      </c>
      <c r="I700" s="50" t="n"/>
      <c r="J700" s="50" t="n"/>
      <c r="K700" s="54" t="n"/>
      <c r="L700" s="55" t="n"/>
      <c r="M700" s="56" t="n"/>
      <c r="N700" s="57">
        <f>IF(COUNTBLANK(A700:L700)=12,"",1)</f>
        <v/>
      </c>
      <c r="O700" s="40" t="n"/>
    </row>
    <row r="701" ht="15" customHeight="1" s="34">
      <c r="A701" s="48" t="n"/>
      <c r="B701" s="41">
        <f>IF(A701="","",TEXT(A701,"mmm"))</f>
        <v/>
      </c>
      <c r="C701" s="41" t="n"/>
      <c r="D701" s="42" t="n"/>
      <c r="E701" s="41" t="n"/>
      <c r="F701" s="41">
        <f>IFERROR(INDEX(销售员主数据!$B$2:$B$101,MATCH($E701,销售员主数据!$A$2:$A$101,0)),"")</f>
        <v/>
      </c>
      <c r="G701" s="41">
        <f>IFERROR(INDEX(销售员主数据!$C$2:$C$101,MATCH($E701,销售员主数据!$A$2:$A$101,0)),"")</f>
        <v/>
      </c>
      <c r="H701" s="41">
        <f>IFERROR(INDEX(销售员主数据!$D$2:$D$101,MATCH($E701,销售员主数据!$A$2:$A$101,0)),"")</f>
        <v/>
      </c>
      <c r="I701" s="43" t="n"/>
      <c r="J701" s="43" t="n"/>
      <c r="K701" s="44" t="n"/>
      <c r="L701" s="58" t="n"/>
      <c r="M701" s="59" t="n"/>
      <c r="N701" s="60">
        <f>IF(COUNTBLANK(A701:L701)=12,"",1)</f>
        <v/>
      </c>
      <c r="O701" s="42" t="n"/>
    </row>
    <row r="702" ht="15" customHeight="1" s="34">
      <c r="A702" s="46" t="n"/>
      <c r="B702" s="39">
        <f>IF(A702="","",TEXT(A702,"mmm"))</f>
        <v/>
      </c>
      <c r="C702" s="39" t="n"/>
      <c r="D702" s="40" t="n"/>
      <c r="E702" s="39" t="n"/>
      <c r="F702" s="39">
        <f>IFERROR(INDEX(销售员主数据!$B$2:$B$101,MATCH($E702,销售员主数据!$A$2:$A$101,0)),"")</f>
        <v/>
      </c>
      <c r="G702" s="39">
        <f>IFERROR(INDEX(销售员主数据!$C$2:$C$101,MATCH($E702,销售员主数据!$A$2:$A$101,0)),"")</f>
        <v/>
      </c>
      <c r="H702" s="39">
        <f>IFERROR(INDEX(销售员主数据!$D$2:$D$101,MATCH($E702,销售员主数据!$A$2:$A$101,0)),"")</f>
        <v/>
      </c>
      <c r="I702" s="50" t="n"/>
      <c r="J702" s="50" t="n"/>
      <c r="K702" s="54" t="n"/>
      <c r="L702" s="55" t="n"/>
      <c r="M702" s="56" t="n"/>
      <c r="N702" s="57">
        <f>IF(COUNTBLANK(A702:L702)=12,"",1)</f>
        <v/>
      </c>
      <c r="O702" s="40" t="n"/>
    </row>
    <row r="703" ht="15" customHeight="1" s="34">
      <c r="A703" s="48" t="n"/>
      <c r="B703" s="41">
        <f>IF(A703="","",TEXT(A703,"mmm"))</f>
        <v/>
      </c>
      <c r="C703" s="41" t="n"/>
      <c r="D703" s="42" t="n"/>
      <c r="E703" s="41" t="n"/>
      <c r="F703" s="41">
        <f>IFERROR(INDEX(销售员主数据!$B$2:$B$101,MATCH($E703,销售员主数据!$A$2:$A$101,0)),"")</f>
        <v/>
      </c>
      <c r="G703" s="41">
        <f>IFERROR(INDEX(销售员主数据!$C$2:$C$101,MATCH($E703,销售员主数据!$A$2:$A$101,0)),"")</f>
        <v/>
      </c>
      <c r="H703" s="41">
        <f>IFERROR(INDEX(销售员主数据!$D$2:$D$101,MATCH($E703,销售员主数据!$A$2:$A$101,0)),"")</f>
        <v/>
      </c>
      <c r="I703" s="43" t="n"/>
      <c r="J703" s="43" t="n"/>
      <c r="K703" s="44" t="n"/>
      <c r="L703" s="58" t="n"/>
      <c r="M703" s="59" t="n"/>
      <c r="N703" s="60">
        <f>IF(COUNTBLANK(A703:L703)=12,"",1)</f>
        <v/>
      </c>
      <c r="O703" s="42" t="n"/>
    </row>
    <row r="704" ht="15" customHeight="1" s="34">
      <c r="A704" s="46" t="n"/>
      <c r="B704" s="39">
        <f>IF(A704="","",TEXT(A704,"mmm"))</f>
        <v/>
      </c>
      <c r="C704" s="39" t="n"/>
      <c r="D704" s="40" t="n"/>
      <c r="E704" s="39" t="n"/>
      <c r="F704" s="39">
        <f>IFERROR(INDEX(销售员主数据!$B$2:$B$101,MATCH($E704,销售员主数据!$A$2:$A$101,0)),"")</f>
        <v/>
      </c>
      <c r="G704" s="39">
        <f>IFERROR(INDEX(销售员主数据!$C$2:$C$101,MATCH($E704,销售员主数据!$A$2:$A$101,0)),"")</f>
        <v/>
      </c>
      <c r="H704" s="39">
        <f>IFERROR(INDEX(销售员主数据!$D$2:$D$101,MATCH($E704,销售员主数据!$A$2:$A$101,0)),"")</f>
        <v/>
      </c>
      <c r="I704" s="50" t="n"/>
      <c r="J704" s="50" t="n"/>
      <c r="K704" s="54" t="n"/>
      <c r="L704" s="55" t="n"/>
      <c r="M704" s="56" t="n"/>
      <c r="N704" s="57">
        <f>IF(COUNTBLANK(A704:L704)=12,"",1)</f>
        <v/>
      </c>
      <c r="O704" s="40" t="n"/>
    </row>
    <row r="705" ht="15" customHeight="1" s="34">
      <c r="A705" s="48" t="n"/>
      <c r="B705" s="41">
        <f>IF(A705="","",TEXT(A705,"mmm"))</f>
        <v/>
      </c>
      <c r="C705" s="41" t="n"/>
      <c r="D705" s="42" t="n"/>
      <c r="E705" s="41" t="n"/>
      <c r="F705" s="41">
        <f>IFERROR(INDEX(销售员主数据!$B$2:$B$101,MATCH($E705,销售员主数据!$A$2:$A$101,0)),"")</f>
        <v/>
      </c>
      <c r="G705" s="41">
        <f>IFERROR(INDEX(销售员主数据!$C$2:$C$101,MATCH($E705,销售员主数据!$A$2:$A$101,0)),"")</f>
        <v/>
      </c>
      <c r="H705" s="41">
        <f>IFERROR(INDEX(销售员主数据!$D$2:$D$101,MATCH($E705,销售员主数据!$A$2:$A$101,0)),"")</f>
        <v/>
      </c>
      <c r="I705" s="43" t="n"/>
      <c r="J705" s="43" t="n"/>
      <c r="K705" s="44" t="n"/>
      <c r="L705" s="58" t="n"/>
      <c r="M705" s="59" t="n"/>
      <c r="N705" s="60">
        <f>IF(COUNTBLANK(A705:L705)=12,"",1)</f>
        <v/>
      </c>
      <c r="O705" s="42" t="n"/>
    </row>
    <row r="706" ht="15" customHeight="1" s="34">
      <c r="A706" s="46" t="n"/>
      <c r="B706" s="39">
        <f>IF(A706="","",TEXT(A706,"mmm"))</f>
        <v/>
      </c>
      <c r="C706" s="39" t="n"/>
      <c r="D706" s="40" t="n"/>
      <c r="E706" s="39" t="n"/>
      <c r="F706" s="39">
        <f>IFERROR(INDEX(销售员主数据!$B$2:$B$101,MATCH($E706,销售员主数据!$A$2:$A$101,0)),"")</f>
        <v/>
      </c>
      <c r="G706" s="39">
        <f>IFERROR(INDEX(销售员主数据!$C$2:$C$101,MATCH($E706,销售员主数据!$A$2:$A$101,0)),"")</f>
        <v/>
      </c>
      <c r="H706" s="39">
        <f>IFERROR(INDEX(销售员主数据!$D$2:$D$101,MATCH($E706,销售员主数据!$A$2:$A$101,0)),"")</f>
        <v/>
      </c>
      <c r="I706" s="50" t="n"/>
      <c r="J706" s="50" t="n"/>
      <c r="K706" s="54" t="n"/>
      <c r="L706" s="55" t="n"/>
      <c r="M706" s="56" t="n"/>
      <c r="N706" s="57">
        <f>IF(COUNTBLANK(A706:L706)=12,"",1)</f>
        <v/>
      </c>
      <c r="O706" s="40" t="n"/>
    </row>
    <row r="707" ht="15" customHeight="1" s="34">
      <c r="A707" s="48" t="n"/>
      <c r="B707" s="41">
        <f>IF(A707="","",TEXT(A707,"mmm"))</f>
        <v/>
      </c>
      <c r="C707" s="41" t="n"/>
      <c r="D707" s="42" t="n"/>
      <c r="E707" s="41" t="n"/>
      <c r="F707" s="41">
        <f>IFERROR(INDEX(销售员主数据!$B$2:$B$101,MATCH($E707,销售员主数据!$A$2:$A$101,0)),"")</f>
        <v/>
      </c>
      <c r="G707" s="41">
        <f>IFERROR(INDEX(销售员主数据!$C$2:$C$101,MATCH($E707,销售员主数据!$A$2:$A$101,0)),"")</f>
        <v/>
      </c>
      <c r="H707" s="41">
        <f>IFERROR(INDEX(销售员主数据!$D$2:$D$101,MATCH($E707,销售员主数据!$A$2:$A$101,0)),"")</f>
        <v/>
      </c>
      <c r="I707" s="43" t="n"/>
      <c r="J707" s="43" t="n"/>
      <c r="K707" s="44" t="n"/>
      <c r="L707" s="58" t="n"/>
      <c r="M707" s="59" t="n"/>
      <c r="N707" s="60">
        <f>IF(COUNTBLANK(A707:L707)=12,"",1)</f>
        <v/>
      </c>
      <c r="O707" s="42" t="n"/>
    </row>
    <row r="708" ht="15" customHeight="1" s="34">
      <c r="A708" s="46" t="n"/>
      <c r="B708" s="39">
        <f>IF(A708="","",TEXT(A708,"mmm"))</f>
        <v/>
      </c>
      <c r="C708" s="39" t="n"/>
      <c r="D708" s="40" t="n"/>
      <c r="E708" s="39" t="n"/>
      <c r="F708" s="39">
        <f>IFERROR(INDEX(销售员主数据!$B$2:$B$101,MATCH($E708,销售员主数据!$A$2:$A$101,0)),"")</f>
        <v/>
      </c>
      <c r="G708" s="39">
        <f>IFERROR(INDEX(销售员主数据!$C$2:$C$101,MATCH($E708,销售员主数据!$A$2:$A$101,0)),"")</f>
        <v/>
      </c>
      <c r="H708" s="39">
        <f>IFERROR(INDEX(销售员主数据!$D$2:$D$101,MATCH($E708,销售员主数据!$A$2:$A$101,0)),"")</f>
        <v/>
      </c>
      <c r="I708" s="50" t="n"/>
      <c r="J708" s="50" t="n"/>
      <c r="K708" s="54" t="n"/>
      <c r="L708" s="55" t="n"/>
      <c r="M708" s="56" t="n"/>
      <c r="N708" s="57">
        <f>IF(COUNTBLANK(A708:L708)=12,"",1)</f>
        <v/>
      </c>
      <c r="O708" s="40" t="n"/>
    </row>
    <row r="709" ht="15" customHeight="1" s="34">
      <c r="A709" s="48" t="n"/>
      <c r="B709" s="41">
        <f>IF(A709="","",TEXT(A709,"mmm"))</f>
        <v/>
      </c>
      <c r="C709" s="41" t="n"/>
      <c r="D709" s="42" t="n"/>
      <c r="E709" s="41" t="n"/>
      <c r="F709" s="41">
        <f>IFERROR(INDEX(销售员主数据!$B$2:$B$101,MATCH($E709,销售员主数据!$A$2:$A$101,0)),"")</f>
        <v/>
      </c>
      <c r="G709" s="41">
        <f>IFERROR(INDEX(销售员主数据!$C$2:$C$101,MATCH($E709,销售员主数据!$A$2:$A$101,0)),"")</f>
        <v/>
      </c>
      <c r="H709" s="41">
        <f>IFERROR(INDEX(销售员主数据!$D$2:$D$101,MATCH($E709,销售员主数据!$A$2:$A$101,0)),"")</f>
        <v/>
      </c>
      <c r="I709" s="43" t="n"/>
      <c r="J709" s="43" t="n"/>
      <c r="K709" s="44" t="n"/>
      <c r="L709" s="58" t="n"/>
      <c r="M709" s="59" t="n"/>
      <c r="N709" s="60">
        <f>IF(COUNTBLANK(A709:L709)=12,"",1)</f>
        <v/>
      </c>
      <c r="O709" s="42" t="n"/>
    </row>
    <row r="710" ht="15" customHeight="1" s="34">
      <c r="A710" s="46" t="n"/>
      <c r="B710" s="39">
        <f>IF(A710="","",TEXT(A710,"mmm"))</f>
        <v/>
      </c>
      <c r="C710" s="39" t="n"/>
      <c r="D710" s="40" t="n"/>
      <c r="E710" s="39" t="n"/>
      <c r="F710" s="39">
        <f>IFERROR(INDEX(销售员主数据!$B$2:$B$101,MATCH($E710,销售员主数据!$A$2:$A$101,0)),"")</f>
        <v/>
      </c>
      <c r="G710" s="39">
        <f>IFERROR(INDEX(销售员主数据!$C$2:$C$101,MATCH($E710,销售员主数据!$A$2:$A$101,0)),"")</f>
        <v/>
      </c>
      <c r="H710" s="39">
        <f>IFERROR(INDEX(销售员主数据!$D$2:$D$101,MATCH($E710,销售员主数据!$A$2:$A$101,0)),"")</f>
        <v/>
      </c>
      <c r="I710" s="50" t="n"/>
      <c r="J710" s="50" t="n"/>
      <c r="K710" s="54" t="n"/>
      <c r="L710" s="55" t="n"/>
      <c r="M710" s="56" t="n"/>
      <c r="N710" s="57">
        <f>IF(COUNTBLANK(A710:L710)=12,"",1)</f>
        <v/>
      </c>
      <c r="O710" s="40" t="n"/>
    </row>
    <row r="711" ht="15" customHeight="1" s="34">
      <c r="A711" s="48" t="n"/>
      <c r="B711" s="41">
        <f>IF(A711="","",TEXT(A711,"mmm"))</f>
        <v/>
      </c>
      <c r="C711" s="41" t="n"/>
      <c r="D711" s="42" t="n"/>
      <c r="E711" s="41" t="n"/>
      <c r="F711" s="41">
        <f>IFERROR(INDEX(销售员主数据!$B$2:$B$101,MATCH($E711,销售员主数据!$A$2:$A$101,0)),"")</f>
        <v/>
      </c>
      <c r="G711" s="41">
        <f>IFERROR(INDEX(销售员主数据!$C$2:$C$101,MATCH($E711,销售员主数据!$A$2:$A$101,0)),"")</f>
        <v/>
      </c>
      <c r="H711" s="41">
        <f>IFERROR(INDEX(销售员主数据!$D$2:$D$101,MATCH($E711,销售员主数据!$A$2:$A$101,0)),"")</f>
        <v/>
      </c>
      <c r="I711" s="43" t="n"/>
      <c r="J711" s="43" t="n"/>
      <c r="K711" s="44" t="n"/>
      <c r="L711" s="58" t="n"/>
      <c r="M711" s="59" t="n"/>
      <c r="N711" s="60">
        <f>IF(COUNTBLANK(A711:L711)=12,"",1)</f>
        <v/>
      </c>
      <c r="O711" s="42" t="n"/>
    </row>
    <row r="712" ht="15" customHeight="1" s="34">
      <c r="A712" s="46" t="n"/>
      <c r="B712" s="39">
        <f>IF(A712="","",TEXT(A712,"mmm"))</f>
        <v/>
      </c>
      <c r="C712" s="39" t="n"/>
      <c r="D712" s="40" t="n"/>
      <c r="E712" s="39" t="n"/>
      <c r="F712" s="39">
        <f>IFERROR(INDEX(销售员主数据!$B$2:$B$101,MATCH($E712,销售员主数据!$A$2:$A$101,0)),"")</f>
        <v/>
      </c>
      <c r="G712" s="39">
        <f>IFERROR(INDEX(销售员主数据!$C$2:$C$101,MATCH($E712,销售员主数据!$A$2:$A$101,0)),"")</f>
        <v/>
      </c>
      <c r="H712" s="39">
        <f>IFERROR(INDEX(销售员主数据!$D$2:$D$101,MATCH($E712,销售员主数据!$A$2:$A$101,0)),"")</f>
        <v/>
      </c>
      <c r="I712" s="50" t="n"/>
      <c r="J712" s="50" t="n"/>
      <c r="K712" s="54" t="n"/>
      <c r="L712" s="55" t="n"/>
      <c r="M712" s="56" t="n"/>
      <c r="N712" s="57">
        <f>IF(COUNTBLANK(A712:L712)=12,"",1)</f>
        <v/>
      </c>
      <c r="O712" s="40" t="n"/>
    </row>
    <row r="713" ht="15" customHeight="1" s="34">
      <c r="A713" s="48" t="n"/>
      <c r="B713" s="41">
        <f>IF(A713="","",TEXT(A713,"mmm"))</f>
        <v/>
      </c>
      <c r="C713" s="41" t="n"/>
      <c r="D713" s="42" t="n"/>
      <c r="E713" s="41" t="n"/>
      <c r="F713" s="41">
        <f>IFERROR(INDEX(销售员主数据!$B$2:$B$101,MATCH($E713,销售员主数据!$A$2:$A$101,0)),"")</f>
        <v/>
      </c>
      <c r="G713" s="41">
        <f>IFERROR(INDEX(销售员主数据!$C$2:$C$101,MATCH($E713,销售员主数据!$A$2:$A$101,0)),"")</f>
        <v/>
      </c>
      <c r="H713" s="41">
        <f>IFERROR(INDEX(销售员主数据!$D$2:$D$101,MATCH($E713,销售员主数据!$A$2:$A$101,0)),"")</f>
        <v/>
      </c>
      <c r="I713" s="43" t="n"/>
      <c r="J713" s="43" t="n"/>
      <c r="K713" s="44" t="n"/>
      <c r="L713" s="58" t="n"/>
      <c r="M713" s="59" t="n"/>
      <c r="N713" s="60">
        <f>IF(COUNTBLANK(A713:L713)=12,"",1)</f>
        <v/>
      </c>
      <c r="O713" s="42" t="n"/>
    </row>
    <row r="714" ht="15" customHeight="1" s="34">
      <c r="A714" s="46" t="n"/>
      <c r="B714" s="39">
        <f>IF(A714="","",TEXT(A714,"mmm"))</f>
        <v/>
      </c>
      <c r="C714" s="39" t="n"/>
      <c r="D714" s="40" t="n"/>
      <c r="E714" s="39" t="n"/>
      <c r="F714" s="39">
        <f>IFERROR(INDEX(销售员主数据!$B$2:$B$101,MATCH($E714,销售员主数据!$A$2:$A$101,0)),"")</f>
        <v/>
      </c>
      <c r="G714" s="39">
        <f>IFERROR(INDEX(销售员主数据!$C$2:$C$101,MATCH($E714,销售员主数据!$A$2:$A$101,0)),"")</f>
        <v/>
      </c>
      <c r="H714" s="39">
        <f>IFERROR(INDEX(销售员主数据!$D$2:$D$101,MATCH($E714,销售员主数据!$A$2:$A$101,0)),"")</f>
        <v/>
      </c>
      <c r="I714" s="50" t="n"/>
      <c r="J714" s="50" t="n"/>
      <c r="K714" s="54" t="n"/>
      <c r="L714" s="55" t="n"/>
      <c r="M714" s="56" t="n"/>
      <c r="N714" s="57">
        <f>IF(COUNTBLANK(A714:L714)=12,"",1)</f>
        <v/>
      </c>
      <c r="O714" s="40" t="n"/>
    </row>
    <row r="715" ht="15" customHeight="1" s="34">
      <c r="A715" s="48" t="n"/>
      <c r="B715" s="41">
        <f>IF(A715="","",TEXT(A715,"mmm"))</f>
        <v/>
      </c>
      <c r="C715" s="41" t="n"/>
      <c r="D715" s="42" t="n"/>
      <c r="E715" s="41" t="n"/>
      <c r="F715" s="41">
        <f>IFERROR(INDEX(销售员主数据!$B$2:$B$101,MATCH($E715,销售员主数据!$A$2:$A$101,0)),"")</f>
        <v/>
      </c>
      <c r="G715" s="41">
        <f>IFERROR(INDEX(销售员主数据!$C$2:$C$101,MATCH($E715,销售员主数据!$A$2:$A$101,0)),"")</f>
        <v/>
      </c>
      <c r="H715" s="41">
        <f>IFERROR(INDEX(销售员主数据!$D$2:$D$101,MATCH($E715,销售员主数据!$A$2:$A$101,0)),"")</f>
        <v/>
      </c>
      <c r="I715" s="43" t="n"/>
      <c r="J715" s="43" t="n"/>
      <c r="K715" s="44" t="n"/>
      <c r="L715" s="58" t="n"/>
      <c r="M715" s="59" t="n"/>
      <c r="N715" s="60">
        <f>IF(COUNTBLANK(A715:L715)=12,"",1)</f>
        <v/>
      </c>
      <c r="O715" s="42" t="n"/>
    </row>
    <row r="716" ht="15" customHeight="1" s="34">
      <c r="A716" s="46" t="n"/>
      <c r="B716" s="39">
        <f>IF(A716="","",TEXT(A716,"mmm"))</f>
        <v/>
      </c>
      <c r="C716" s="39" t="n"/>
      <c r="D716" s="40" t="n"/>
      <c r="E716" s="39" t="n"/>
      <c r="F716" s="39">
        <f>IFERROR(INDEX(销售员主数据!$B$2:$B$101,MATCH($E716,销售员主数据!$A$2:$A$101,0)),"")</f>
        <v/>
      </c>
      <c r="G716" s="39">
        <f>IFERROR(INDEX(销售员主数据!$C$2:$C$101,MATCH($E716,销售员主数据!$A$2:$A$101,0)),"")</f>
        <v/>
      </c>
      <c r="H716" s="39">
        <f>IFERROR(INDEX(销售员主数据!$D$2:$D$101,MATCH($E716,销售员主数据!$A$2:$A$101,0)),"")</f>
        <v/>
      </c>
      <c r="I716" s="50" t="n"/>
      <c r="J716" s="50" t="n"/>
      <c r="K716" s="54" t="n"/>
      <c r="L716" s="55" t="n"/>
      <c r="M716" s="56" t="n"/>
      <c r="N716" s="57">
        <f>IF(COUNTBLANK(A716:L716)=12,"",1)</f>
        <v/>
      </c>
      <c r="O716" s="40" t="n"/>
    </row>
    <row r="717" ht="15" customHeight="1" s="34">
      <c r="A717" s="48" t="n"/>
      <c r="B717" s="41">
        <f>IF(A717="","",TEXT(A717,"mmm"))</f>
        <v/>
      </c>
      <c r="C717" s="41" t="n"/>
      <c r="D717" s="42" t="n"/>
      <c r="E717" s="41" t="n"/>
      <c r="F717" s="41">
        <f>IFERROR(INDEX(销售员主数据!$B$2:$B$101,MATCH($E717,销售员主数据!$A$2:$A$101,0)),"")</f>
        <v/>
      </c>
      <c r="G717" s="41">
        <f>IFERROR(INDEX(销售员主数据!$C$2:$C$101,MATCH($E717,销售员主数据!$A$2:$A$101,0)),"")</f>
        <v/>
      </c>
      <c r="H717" s="41">
        <f>IFERROR(INDEX(销售员主数据!$D$2:$D$101,MATCH($E717,销售员主数据!$A$2:$A$101,0)),"")</f>
        <v/>
      </c>
      <c r="I717" s="43" t="n"/>
      <c r="J717" s="43" t="n"/>
      <c r="K717" s="44" t="n"/>
      <c r="L717" s="58" t="n"/>
      <c r="M717" s="59" t="n"/>
      <c r="N717" s="60">
        <f>IF(COUNTBLANK(A717:L717)=12,"",1)</f>
        <v/>
      </c>
      <c r="O717" s="42" t="n"/>
    </row>
    <row r="718" ht="15" customHeight="1" s="34">
      <c r="A718" s="46" t="n"/>
      <c r="B718" s="39">
        <f>IF(A718="","",TEXT(A718,"mmm"))</f>
        <v/>
      </c>
      <c r="C718" s="39" t="n"/>
      <c r="D718" s="40" t="n"/>
      <c r="E718" s="39" t="n"/>
      <c r="F718" s="39">
        <f>IFERROR(INDEX(销售员主数据!$B$2:$B$101,MATCH($E718,销售员主数据!$A$2:$A$101,0)),"")</f>
        <v/>
      </c>
      <c r="G718" s="39">
        <f>IFERROR(INDEX(销售员主数据!$C$2:$C$101,MATCH($E718,销售员主数据!$A$2:$A$101,0)),"")</f>
        <v/>
      </c>
      <c r="H718" s="39">
        <f>IFERROR(INDEX(销售员主数据!$D$2:$D$101,MATCH($E718,销售员主数据!$A$2:$A$101,0)),"")</f>
        <v/>
      </c>
      <c r="I718" s="50" t="n"/>
      <c r="J718" s="50" t="n"/>
      <c r="K718" s="54" t="n"/>
      <c r="L718" s="55" t="n"/>
      <c r="M718" s="56" t="n"/>
      <c r="N718" s="57">
        <f>IF(COUNTBLANK(A718:L718)=12,"",1)</f>
        <v/>
      </c>
      <c r="O718" s="40" t="n"/>
    </row>
    <row r="719" ht="15" customHeight="1" s="34">
      <c r="A719" s="48" t="n"/>
      <c r="B719" s="41">
        <f>IF(A719="","",TEXT(A719,"mmm"))</f>
        <v/>
      </c>
      <c r="C719" s="41" t="n"/>
      <c r="D719" s="42" t="n"/>
      <c r="E719" s="41" t="n"/>
      <c r="F719" s="41">
        <f>IFERROR(INDEX(销售员主数据!$B$2:$B$101,MATCH($E719,销售员主数据!$A$2:$A$101,0)),"")</f>
        <v/>
      </c>
      <c r="G719" s="41">
        <f>IFERROR(INDEX(销售员主数据!$C$2:$C$101,MATCH($E719,销售员主数据!$A$2:$A$101,0)),"")</f>
        <v/>
      </c>
      <c r="H719" s="41">
        <f>IFERROR(INDEX(销售员主数据!$D$2:$D$101,MATCH($E719,销售员主数据!$A$2:$A$101,0)),"")</f>
        <v/>
      </c>
      <c r="I719" s="43" t="n"/>
      <c r="J719" s="43" t="n"/>
      <c r="K719" s="44" t="n"/>
      <c r="L719" s="58" t="n"/>
      <c r="M719" s="59" t="n"/>
      <c r="N719" s="60">
        <f>IF(COUNTBLANK(A719:L719)=12,"",1)</f>
        <v/>
      </c>
      <c r="O719" s="42" t="n"/>
    </row>
    <row r="720" ht="15" customHeight="1" s="34">
      <c r="A720" s="46" t="n"/>
      <c r="B720" s="39">
        <f>IF(A720="","",TEXT(A720,"mmm"))</f>
        <v/>
      </c>
      <c r="C720" s="39" t="n"/>
      <c r="D720" s="40" t="n"/>
      <c r="E720" s="39" t="n"/>
      <c r="F720" s="39">
        <f>IFERROR(INDEX(销售员主数据!$B$2:$B$101,MATCH($E720,销售员主数据!$A$2:$A$101,0)),"")</f>
        <v/>
      </c>
      <c r="G720" s="39">
        <f>IFERROR(INDEX(销售员主数据!$C$2:$C$101,MATCH($E720,销售员主数据!$A$2:$A$101,0)),"")</f>
        <v/>
      </c>
      <c r="H720" s="39">
        <f>IFERROR(INDEX(销售员主数据!$D$2:$D$101,MATCH($E720,销售员主数据!$A$2:$A$101,0)),"")</f>
        <v/>
      </c>
      <c r="I720" s="50" t="n"/>
      <c r="J720" s="50" t="n"/>
      <c r="K720" s="54" t="n"/>
      <c r="L720" s="55" t="n"/>
      <c r="M720" s="56" t="n"/>
      <c r="N720" s="57">
        <f>IF(COUNTBLANK(A720:L720)=12,"",1)</f>
        <v/>
      </c>
      <c r="O720" s="40" t="n"/>
    </row>
    <row r="721" ht="15" customHeight="1" s="34">
      <c r="A721" s="48" t="n"/>
      <c r="B721" s="41">
        <f>IF(A721="","",TEXT(A721,"mmm"))</f>
        <v/>
      </c>
      <c r="C721" s="41" t="n"/>
      <c r="D721" s="42" t="n"/>
      <c r="E721" s="41" t="n"/>
      <c r="F721" s="41">
        <f>IFERROR(INDEX(销售员主数据!$B$2:$B$101,MATCH($E721,销售员主数据!$A$2:$A$101,0)),"")</f>
        <v/>
      </c>
      <c r="G721" s="41">
        <f>IFERROR(INDEX(销售员主数据!$C$2:$C$101,MATCH($E721,销售员主数据!$A$2:$A$101,0)),"")</f>
        <v/>
      </c>
      <c r="H721" s="41">
        <f>IFERROR(INDEX(销售员主数据!$D$2:$D$101,MATCH($E721,销售员主数据!$A$2:$A$101,0)),"")</f>
        <v/>
      </c>
      <c r="I721" s="43" t="n"/>
      <c r="J721" s="43" t="n"/>
      <c r="K721" s="44" t="n"/>
      <c r="L721" s="58" t="n"/>
      <c r="M721" s="59" t="n"/>
      <c r="N721" s="60">
        <f>IF(COUNTBLANK(A721:L721)=12,"",1)</f>
        <v/>
      </c>
      <c r="O721" s="42" t="n"/>
    </row>
    <row r="722" ht="15" customHeight="1" s="34">
      <c r="A722" s="46" t="n"/>
      <c r="B722" s="39">
        <f>IF(A722="","",TEXT(A722,"mmm"))</f>
        <v/>
      </c>
      <c r="C722" s="39" t="n"/>
      <c r="D722" s="40" t="n"/>
      <c r="E722" s="39" t="n"/>
      <c r="F722" s="39">
        <f>IFERROR(INDEX(销售员主数据!$B$2:$B$101,MATCH($E722,销售员主数据!$A$2:$A$101,0)),"")</f>
        <v/>
      </c>
      <c r="G722" s="39">
        <f>IFERROR(INDEX(销售员主数据!$C$2:$C$101,MATCH($E722,销售员主数据!$A$2:$A$101,0)),"")</f>
        <v/>
      </c>
      <c r="H722" s="39">
        <f>IFERROR(INDEX(销售员主数据!$D$2:$D$101,MATCH($E722,销售员主数据!$A$2:$A$101,0)),"")</f>
        <v/>
      </c>
      <c r="I722" s="50" t="n"/>
      <c r="J722" s="50" t="n"/>
      <c r="K722" s="54" t="n"/>
      <c r="L722" s="55" t="n"/>
      <c r="M722" s="56" t="n"/>
      <c r="N722" s="57">
        <f>IF(COUNTBLANK(A722:L722)=12,"",1)</f>
        <v/>
      </c>
      <c r="O722" s="40" t="n"/>
    </row>
    <row r="723" ht="15" customHeight="1" s="34">
      <c r="A723" s="48" t="n"/>
      <c r="B723" s="41">
        <f>IF(A723="","",TEXT(A723,"mmm"))</f>
        <v/>
      </c>
      <c r="C723" s="41" t="n"/>
      <c r="D723" s="42" t="n"/>
      <c r="E723" s="41" t="n"/>
      <c r="F723" s="41">
        <f>IFERROR(INDEX(销售员主数据!$B$2:$B$101,MATCH($E723,销售员主数据!$A$2:$A$101,0)),"")</f>
        <v/>
      </c>
      <c r="G723" s="41">
        <f>IFERROR(INDEX(销售员主数据!$C$2:$C$101,MATCH($E723,销售员主数据!$A$2:$A$101,0)),"")</f>
        <v/>
      </c>
      <c r="H723" s="41">
        <f>IFERROR(INDEX(销售员主数据!$D$2:$D$101,MATCH($E723,销售员主数据!$A$2:$A$101,0)),"")</f>
        <v/>
      </c>
      <c r="I723" s="43" t="n"/>
      <c r="J723" s="43" t="n"/>
      <c r="K723" s="44" t="n"/>
      <c r="L723" s="58" t="n"/>
      <c r="M723" s="59" t="n"/>
      <c r="N723" s="60">
        <f>IF(COUNTBLANK(A723:L723)=12,"",1)</f>
        <v/>
      </c>
      <c r="O723" s="42" t="n"/>
    </row>
    <row r="724" ht="15" customHeight="1" s="34">
      <c r="A724" s="46" t="n"/>
      <c r="B724" s="39">
        <f>IF(A724="","",TEXT(A724,"mmm"))</f>
        <v/>
      </c>
      <c r="C724" s="39" t="n"/>
      <c r="D724" s="40" t="n"/>
      <c r="E724" s="39" t="n"/>
      <c r="F724" s="39">
        <f>IFERROR(INDEX(销售员主数据!$B$2:$B$101,MATCH($E724,销售员主数据!$A$2:$A$101,0)),"")</f>
        <v/>
      </c>
      <c r="G724" s="39">
        <f>IFERROR(INDEX(销售员主数据!$C$2:$C$101,MATCH($E724,销售员主数据!$A$2:$A$101,0)),"")</f>
        <v/>
      </c>
      <c r="H724" s="39">
        <f>IFERROR(INDEX(销售员主数据!$D$2:$D$101,MATCH($E724,销售员主数据!$A$2:$A$101,0)),"")</f>
        <v/>
      </c>
      <c r="I724" s="50" t="n"/>
      <c r="J724" s="50" t="n"/>
      <c r="K724" s="54" t="n"/>
      <c r="L724" s="55" t="n"/>
      <c r="M724" s="56" t="n"/>
      <c r="N724" s="57">
        <f>IF(COUNTBLANK(A724:L724)=12,"",1)</f>
        <v/>
      </c>
      <c r="O724" s="40" t="n"/>
    </row>
    <row r="725" ht="15" customHeight="1" s="34">
      <c r="A725" s="48" t="n"/>
      <c r="B725" s="41">
        <f>IF(A725="","",TEXT(A725,"mmm"))</f>
        <v/>
      </c>
      <c r="C725" s="41" t="n"/>
      <c r="D725" s="42" t="n"/>
      <c r="E725" s="41" t="n"/>
      <c r="F725" s="41">
        <f>IFERROR(INDEX(销售员主数据!$B$2:$B$101,MATCH($E725,销售员主数据!$A$2:$A$101,0)),"")</f>
        <v/>
      </c>
      <c r="G725" s="41">
        <f>IFERROR(INDEX(销售员主数据!$C$2:$C$101,MATCH($E725,销售员主数据!$A$2:$A$101,0)),"")</f>
        <v/>
      </c>
      <c r="H725" s="41">
        <f>IFERROR(INDEX(销售员主数据!$D$2:$D$101,MATCH($E725,销售员主数据!$A$2:$A$101,0)),"")</f>
        <v/>
      </c>
      <c r="I725" s="43" t="n"/>
      <c r="J725" s="43" t="n"/>
      <c r="K725" s="44" t="n"/>
      <c r="L725" s="58" t="n"/>
      <c r="M725" s="59" t="n"/>
      <c r="N725" s="60">
        <f>IF(COUNTBLANK(A725:L725)=12,"",1)</f>
        <v/>
      </c>
      <c r="O725" s="42" t="n"/>
    </row>
    <row r="726" ht="15" customHeight="1" s="34">
      <c r="A726" s="46" t="n"/>
      <c r="B726" s="39">
        <f>IF(A726="","",TEXT(A726,"mmm"))</f>
        <v/>
      </c>
      <c r="C726" s="39" t="n"/>
      <c r="D726" s="40" t="n"/>
      <c r="E726" s="39" t="n"/>
      <c r="F726" s="39">
        <f>IFERROR(INDEX(销售员主数据!$B$2:$B$101,MATCH($E726,销售员主数据!$A$2:$A$101,0)),"")</f>
        <v/>
      </c>
      <c r="G726" s="39">
        <f>IFERROR(INDEX(销售员主数据!$C$2:$C$101,MATCH($E726,销售员主数据!$A$2:$A$101,0)),"")</f>
        <v/>
      </c>
      <c r="H726" s="39">
        <f>IFERROR(INDEX(销售员主数据!$D$2:$D$101,MATCH($E726,销售员主数据!$A$2:$A$101,0)),"")</f>
        <v/>
      </c>
      <c r="I726" s="50" t="n"/>
      <c r="J726" s="50" t="n"/>
      <c r="K726" s="54" t="n"/>
      <c r="L726" s="55" t="n"/>
      <c r="M726" s="56" t="n"/>
      <c r="N726" s="57">
        <f>IF(COUNTBLANK(A726:L726)=12,"",1)</f>
        <v/>
      </c>
      <c r="O726" s="40" t="n"/>
    </row>
    <row r="727" ht="15" customHeight="1" s="34">
      <c r="A727" s="48" t="n"/>
      <c r="B727" s="41">
        <f>IF(A727="","",TEXT(A727,"mmm"))</f>
        <v/>
      </c>
      <c r="C727" s="41" t="n"/>
      <c r="D727" s="42" t="n"/>
      <c r="E727" s="41" t="n"/>
      <c r="F727" s="41">
        <f>IFERROR(INDEX(销售员主数据!$B$2:$B$101,MATCH($E727,销售员主数据!$A$2:$A$101,0)),"")</f>
        <v/>
      </c>
      <c r="G727" s="41">
        <f>IFERROR(INDEX(销售员主数据!$C$2:$C$101,MATCH($E727,销售员主数据!$A$2:$A$101,0)),"")</f>
        <v/>
      </c>
      <c r="H727" s="41">
        <f>IFERROR(INDEX(销售员主数据!$D$2:$D$101,MATCH($E727,销售员主数据!$A$2:$A$101,0)),"")</f>
        <v/>
      </c>
      <c r="I727" s="43" t="n"/>
      <c r="J727" s="43" t="n"/>
      <c r="K727" s="44" t="n"/>
      <c r="L727" s="58" t="n"/>
      <c r="M727" s="59" t="n"/>
      <c r="N727" s="60">
        <f>IF(COUNTBLANK(A727:L727)=12,"",1)</f>
        <v/>
      </c>
      <c r="O727" s="42" t="n"/>
    </row>
    <row r="728" ht="15" customHeight="1" s="34">
      <c r="A728" s="46" t="n"/>
      <c r="B728" s="39">
        <f>IF(A728="","",TEXT(A728,"mmm"))</f>
        <v/>
      </c>
      <c r="C728" s="39" t="n"/>
      <c r="D728" s="40" t="n"/>
      <c r="E728" s="39" t="n"/>
      <c r="F728" s="39">
        <f>IFERROR(INDEX(销售员主数据!$B$2:$B$101,MATCH($E728,销售员主数据!$A$2:$A$101,0)),"")</f>
        <v/>
      </c>
      <c r="G728" s="39">
        <f>IFERROR(INDEX(销售员主数据!$C$2:$C$101,MATCH($E728,销售员主数据!$A$2:$A$101,0)),"")</f>
        <v/>
      </c>
      <c r="H728" s="39">
        <f>IFERROR(INDEX(销售员主数据!$D$2:$D$101,MATCH($E728,销售员主数据!$A$2:$A$101,0)),"")</f>
        <v/>
      </c>
      <c r="I728" s="50" t="n"/>
      <c r="J728" s="50" t="n"/>
      <c r="K728" s="54" t="n"/>
      <c r="L728" s="55" t="n"/>
      <c r="M728" s="56" t="n"/>
      <c r="N728" s="57">
        <f>IF(COUNTBLANK(A728:L728)=12,"",1)</f>
        <v/>
      </c>
      <c r="O728" s="40" t="n"/>
    </row>
    <row r="729" ht="15" customHeight="1" s="34">
      <c r="A729" s="48" t="n"/>
      <c r="B729" s="41">
        <f>IF(A729="","",TEXT(A729,"mmm"))</f>
        <v/>
      </c>
      <c r="C729" s="41" t="n"/>
      <c r="D729" s="42" t="n"/>
      <c r="E729" s="41" t="n"/>
      <c r="F729" s="41">
        <f>IFERROR(INDEX(销售员主数据!$B$2:$B$101,MATCH($E729,销售员主数据!$A$2:$A$101,0)),"")</f>
        <v/>
      </c>
      <c r="G729" s="41">
        <f>IFERROR(INDEX(销售员主数据!$C$2:$C$101,MATCH($E729,销售员主数据!$A$2:$A$101,0)),"")</f>
        <v/>
      </c>
      <c r="H729" s="41">
        <f>IFERROR(INDEX(销售员主数据!$D$2:$D$101,MATCH($E729,销售员主数据!$A$2:$A$101,0)),"")</f>
        <v/>
      </c>
      <c r="I729" s="43" t="n"/>
      <c r="J729" s="43" t="n"/>
      <c r="K729" s="44" t="n"/>
      <c r="L729" s="58" t="n"/>
      <c r="M729" s="59" t="n"/>
      <c r="N729" s="60">
        <f>IF(COUNTBLANK(A729:L729)=12,"",1)</f>
        <v/>
      </c>
      <c r="O729" s="42" t="n"/>
    </row>
    <row r="730" ht="15" customHeight="1" s="34">
      <c r="A730" s="46" t="n"/>
      <c r="B730" s="39">
        <f>IF(A730="","",TEXT(A730,"mmm"))</f>
        <v/>
      </c>
      <c r="C730" s="39" t="n"/>
      <c r="D730" s="40" t="n"/>
      <c r="E730" s="39" t="n"/>
      <c r="F730" s="39">
        <f>IFERROR(INDEX(销售员主数据!$B$2:$B$101,MATCH($E730,销售员主数据!$A$2:$A$101,0)),"")</f>
        <v/>
      </c>
      <c r="G730" s="39">
        <f>IFERROR(INDEX(销售员主数据!$C$2:$C$101,MATCH($E730,销售员主数据!$A$2:$A$101,0)),"")</f>
        <v/>
      </c>
      <c r="H730" s="39">
        <f>IFERROR(INDEX(销售员主数据!$D$2:$D$101,MATCH($E730,销售员主数据!$A$2:$A$101,0)),"")</f>
        <v/>
      </c>
      <c r="I730" s="50" t="n"/>
      <c r="J730" s="50" t="n"/>
      <c r="K730" s="54" t="n"/>
      <c r="L730" s="55" t="n"/>
      <c r="M730" s="56" t="n"/>
      <c r="N730" s="57">
        <f>IF(COUNTBLANK(A730:L730)=12,"",1)</f>
        <v/>
      </c>
      <c r="O730" s="40" t="n"/>
    </row>
    <row r="731" ht="15" customHeight="1" s="34">
      <c r="A731" s="48" t="n"/>
      <c r="B731" s="41">
        <f>IF(A731="","",TEXT(A731,"mmm"))</f>
        <v/>
      </c>
      <c r="C731" s="41" t="n"/>
      <c r="D731" s="42" t="n"/>
      <c r="E731" s="41" t="n"/>
      <c r="F731" s="41">
        <f>IFERROR(INDEX(销售员主数据!$B$2:$B$101,MATCH($E731,销售员主数据!$A$2:$A$101,0)),"")</f>
        <v/>
      </c>
      <c r="G731" s="41">
        <f>IFERROR(INDEX(销售员主数据!$C$2:$C$101,MATCH($E731,销售员主数据!$A$2:$A$101,0)),"")</f>
        <v/>
      </c>
      <c r="H731" s="41">
        <f>IFERROR(INDEX(销售员主数据!$D$2:$D$101,MATCH($E731,销售员主数据!$A$2:$A$101,0)),"")</f>
        <v/>
      </c>
      <c r="I731" s="43" t="n"/>
      <c r="J731" s="43" t="n"/>
      <c r="K731" s="44" t="n"/>
      <c r="L731" s="58" t="n"/>
      <c r="M731" s="59" t="n"/>
      <c r="N731" s="60">
        <f>IF(COUNTBLANK(A731:L731)=12,"",1)</f>
        <v/>
      </c>
      <c r="O731" s="42" t="n"/>
    </row>
    <row r="732" ht="15" customHeight="1" s="34">
      <c r="A732" s="46" t="n"/>
      <c r="B732" s="39">
        <f>IF(A732="","",TEXT(A732,"mmm"))</f>
        <v/>
      </c>
      <c r="C732" s="39" t="n"/>
      <c r="D732" s="40" t="n"/>
      <c r="E732" s="39" t="n"/>
      <c r="F732" s="39">
        <f>IFERROR(INDEX(销售员主数据!$B$2:$B$101,MATCH($E732,销售员主数据!$A$2:$A$101,0)),"")</f>
        <v/>
      </c>
      <c r="G732" s="39">
        <f>IFERROR(INDEX(销售员主数据!$C$2:$C$101,MATCH($E732,销售员主数据!$A$2:$A$101,0)),"")</f>
        <v/>
      </c>
      <c r="H732" s="39">
        <f>IFERROR(INDEX(销售员主数据!$D$2:$D$101,MATCH($E732,销售员主数据!$A$2:$A$101,0)),"")</f>
        <v/>
      </c>
      <c r="I732" s="50" t="n"/>
      <c r="J732" s="50" t="n"/>
      <c r="K732" s="54" t="n"/>
      <c r="L732" s="55" t="n"/>
      <c r="M732" s="56" t="n"/>
      <c r="N732" s="57">
        <f>IF(COUNTBLANK(A732:L732)=12,"",1)</f>
        <v/>
      </c>
      <c r="O732" s="40" t="n"/>
    </row>
    <row r="733" ht="15" customHeight="1" s="34">
      <c r="A733" s="48" t="n"/>
      <c r="B733" s="41">
        <f>IF(A733="","",TEXT(A733,"mmm"))</f>
        <v/>
      </c>
      <c r="C733" s="41" t="n"/>
      <c r="D733" s="42" t="n"/>
      <c r="E733" s="41" t="n"/>
      <c r="F733" s="41">
        <f>IFERROR(INDEX(销售员主数据!$B$2:$B$101,MATCH($E733,销售员主数据!$A$2:$A$101,0)),"")</f>
        <v/>
      </c>
      <c r="G733" s="41">
        <f>IFERROR(INDEX(销售员主数据!$C$2:$C$101,MATCH($E733,销售员主数据!$A$2:$A$101,0)),"")</f>
        <v/>
      </c>
      <c r="H733" s="41">
        <f>IFERROR(INDEX(销售员主数据!$D$2:$D$101,MATCH($E733,销售员主数据!$A$2:$A$101,0)),"")</f>
        <v/>
      </c>
      <c r="I733" s="43" t="n"/>
      <c r="J733" s="43" t="n"/>
      <c r="K733" s="44" t="n"/>
      <c r="L733" s="58" t="n"/>
      <c r="M733" s="59" t="n"/>
      <c r="N733" s="60">
        <f>IF(COUNTBLANK(A733:L733)=12,"",1)</f>
        <v/>
      </c>
      <c r="O733" s="42" t="n"/>
    </row>
    <row r="734" ht="15" customHeight="1" s="34">
      <c r="A734" s="46" t="n"/>
      <c r="B734" s="39">
        <f>IF(A734="","",TEXT(A734,"mmm"))</f>
        <v/>
      </c>
      <c r="C734" s="39" t="n"/>
      <c r="D734" s="40" t="n"/>
      <c r="E734" s="39" t="n"/>
      <c r="F734" s="39">
        <f>IFERROR(INDEX(销售员主数据!$B$2:$B$101,MATCH($E734,销售员主数据!$A$2:$A$101,0)),"")</f>
        <v/>
      </c>
      <c r="G734" s="39">
        <f>IFERROR(INDEX(销售员主数据!$C$2:$C$101,MATCH($E734,销售员主数据!$A$2:$A$101,0)),"")</f>
        <v/>
      </c>
      <c r="H734" s="39">
        <f>IFERROR(INDEX(销售员主数据!$D$2:$D$101,MATCH($E734,销售员主数据!$A$2:$A$101,0)),"")</f>
        <v/>
      </c>
      <c r="I734" s="50" t="n"/>
      <c r="J734" s="50" t="n"/>
      <c r="K734" s="54" t="n"/>
      <c r="L734" s="55" t="n"/>
      <c r="M734" s="56" t="n"/>
      <c r="N734" s="57">
        <f>IF(COUNTBLANK(A734:L734)=12,"",1)</f>
        <v/>
      </c>
      <c r="O734" s="40" t="n"/>
    </row>
    <row r="735" ht="15" customHeight="1" s="34">
      <c r="A735" s="48" t="n"/>
      <c r="B735" s="41">
        <f>IF(A735="","",TEXT(A735,"mmm"))</f>
        <v/>
      </c>
      <c r="C735" s="41" t="n"/>
      <c r="D735" s="42" t="n"/>
      <c r="E735" s="41" t="n"/>
      <c r="F735" s="41">
        <f>IFERROR(INDEX(销售员主数据!$B$2:$B$101,MATCH($E735,销售员主数据!$A$2:$A$101,0)),"")</f>
        <v/>
      </c>
      <c r="G735" s="41">
        <f>IFERROR(INDEX(销售员主数据!$C$2:$C$101,MATCH($E735,销售员主数据!$A$2:$A$101,0)),"")</f>
        <v/>
      </c>
      <c r="H735" s="41">
        <f>IFERROR(INDEX(销售员主数据!$D$2:$D$101,MATCH($E735,销售员主数据!$A$2:$A$101,0)),"")</f>
        <v/>
      </c>
      <c r="I735" s="43" t="n"/>
      <c r="J735" s="43" t="n"/>
      <c r="K735" s="44" t="n"/>
      <c r="L735" s="58" t="n"/>
      <c r="M735" s="59" t="n"/>
      <c r="N735" s="60">
        <f>IF(COUNTBLANK(A735:L735)=12,"",1)</f>
        <v/>
      </c>
      <c r="O735" s="42" t="n"/>
    </row>
    <row r="736" ht="15" customHeight="1" s="34">
      <c r="A736" s="46" t="n"/>
      <c r="B736" s="39">
        <f>IF(A736="","",TEXT(A736,"mmm"))</f>
        <v/>
      </c>
      <c r="C736" s="39" t="n"/>
      <c r="D736" s="40" t="n"/>
      <c r="E736" s="39" t="n"/>
      <c r="F736" s="39">
        <f>IFERROR(INDEX(销售员主数据!$B$2:$B$101,MATCH($E736,销售员主数据!$A$2:$A$101,0)),"")</f>
        <v/>
      </c>
      <c r="G736" s="39">
        <f>IFERROR(INDEX(销售员主数据!$C$2:$C$101,MATCH($E736,销售员主数据!$A$2:$A$101,0)),"")</f>
        <v/>
      </c>
      <c r="H736" s="39">
        <f>IFERROR(INDEX(销售员主数据!$D$2:$D$101,MATCH($E736,销售员主数据!$A$2:$A$101,0)),"")</f>
        <v/>
      </c>
      <c r="I736" s="50" t="n"/>
      <c r="J736" s="50" t="n"/>
      <c r="K736" s="54" t="n"/>
      <c r="L736" s="55" t="n"/>
      <c r="M736" s="56" t="n"/>
      <c r="N736" s="57">
        <f>IF(COUNTBLANK(A736:L736)=12,"",1)</f>
        <v/>
      </c>
      <c r="O736" s="40" t="n"/>
    </row>
    <row r="737" ht="15" customHeight="1" s="34">
      <c r="A737" s="48" t="n"/>
      <c r="B737" s="41">
        <f>IF(A737="","",TEXT(A737,"mmm"))</f>
        <v/>
      </c>
      <c r="C737" s="41" t="n"/>
      <c r="D737" s="42" t="n"/>
      <c r="E737" s="41" t="n"/>
      <c r="F737" s="41">
        <f>IFERROR(INDEX(销售员主数据!$B$2:$B$101,MATCH($E737,销售员主数据!$A$2:$A$101,0)),"")</f>
        <v/>
      </c>
      <c r="G737" s="41">
        <f>IFERROR(INDEX(销售员主数据!$C$2:$C$101,MATCH($E737,销售员主数据!$A$2:$A$101,0)),"")</f>
        <v/>
      </c>
      <c r="H737" s="41">
        <f>IFERROR(INDEX(销售员主数据!$D$2:$D$101,MATCH($E737,销售员主数据!$A$2:$A$101,0)),"")</f>
        <v/>
      </c>
      <c r="I737" s="43" t="n"/>
      <c r="J737" s="43" t="n"/>
      <c r="K737" s="44" t="n"/>
      <c r="L737" s="58" t="n"/>
      <c r="M737" s="59" t="n"/>
      <c r="N737" s="60">
        <f>IF(COUNTBLANK(A737:L737)=12,"",1)</f>
        <v/>
      </c>
      <c r="O737" s="42" t="n"/>
    </row>
    <row r="738" ht="15" customHeight="1" s="34">
      <c r="A738" s="46" t="n"/>
      <c r="B738" s="39">
        <f>IF(A738="","",TEXT(A738,"mmm"))</f>
        <v/>
      </c>
      <c r="C738" s="39" t="n"/>
      <c r="D738" s="40" t="n"/>
      <c r="E738" s="39" t="n"/>
      <c r="F738" s="39">
        <f>IFERROR(INDEX(销售员主数据!$B$2:$B$101,MATCH($E738,销售员主数据!$A$2:$A$101,0)),"")</f>
        <v/>
      </c>
      <c r="G738" s="39">
        <f>IFERROR(INDEX(销售员主数据!$C$2:$C$101,MATCH($E738,销售员主数据!$A$2:$A$101,0)),"")</f>
        <v/>
      </c>
      <c r="H738" s="39">
        <f>IFERROR(INDEX(销售员主数据!$D$2:$D$101,MATCH($E738,销售员主数据!$A$2:$A$101,0)),"")</f>
        <v/>
      </c>
      <c r="I738" s="50" t="n"/>
      <c r="J738" s="50" t="n"/>
      <c r="K738" s="54" t="n"/>
      <c r="L738" s="55" t="n"/>
      <c r="M738" s="56" t="n"/>
      <c r="N738" s="57">
        <f>IF(COUNTBLANK(A738:L738)=12,"",1)</f>
        <v/>
      </c>
      <c r="O738" s="40" t="n"/>
    </row>
    <row r="739" ht="15" customHeight="1" s="34">
      <c r="A739" s="48" t="n"/>
      <c r="B739" s="41">
        <f>IF(A739="","",TEXT(A739,"mmm"))</f>
        <v/>
      </c>
      <c r="C739" s="41" t="n"/>
      <c r="D739" s="42" t="n"/>
      <c r="E739" s="41" t="n"/>
      <c r="F739" s="41">
        <f>IFERROR(INDEX(销售员主数据!$B$2:$B$101,MATCH($E739,销售员主数据!$A$2:$A$101,0)),"")</f>
        <v/>
      </c>
      <c r="G739" s="41">
        <f>IFERROR(INDEX(销售员主数据!$C$2:$C$101,MATCH($E739,销售员主数据!$A$2:$A$101,0)),"")</f>
        <v/>
      </c>
      <c r="H739" s="41">
        <f>IFERROR(INDEX(销售员主数据!$D$2:$D$101,MATCH($E739,销售员主数据!$A$2:$A$101,0)),"")</f>
        <v/>
      </c>
      <c r="I739" s="43" t="n"/>
      <c r="J739" s="43" t="n"/>
      <c r="K739" s="44" t="n"/>
      <c r="L739" s="58" t="n"/>
      <c r="M739" s="59" t="n"/>
      <c r="N739" s="60">
        <f>IF(COUNTBLANK(A739:L739)=12,"",1)</f>
        <v/>
      </c>
      <c r="O739" s="42" t="n"/>
    </row>
    <row r="740" ht="15" customHeight="1" s="34">
      <c r="A740" s="46" t="n"/>
      <c r="B740" s="39">
        <f>IF(A740="","",TEXT(A740,"mmm"))</f>
        <v/>
      </c>
      <c r="C740" s="39" t="n"/>
      <c r="D740" s="40" t="n"/>
      <c r="E740" s="39" t="n"/>
      <c r="F740" s="39">
        <f>IFERROR(INDEX(销售员主数据!$B$2:$B$101,MATCH($E740,销售员主数据!$A$2:$A$101,0)),"")</f>
        <v/>
      </c>
      <c r="G740" s="39">
        <f>IFERROR(INDEX(销售员主数据!$C$2:$C$101,MATCH($E740,销售员主数据!$A$2:$A$101,0)),"")</f>
        <v/>
      </c>
      <c r="H740" s="39">
        <f>IFERROR(INDEX(销售员主数据!$D$2:$D$101,MATCH($E740,销售员主数据!$A$2:$A$101,0)),"")</f>
        <v/>
      </c>
      <c r="I740" s="50" t="n"/>
      <c r="J740" s="50" t="n"/>
      <c r="K740" s="54" t="n"/>
      <c r="L740" s="55" t="n"/>
      <c r="M740" s="56" t="n"/>
      <c r="N740" s="57">
        <f>IF(COUNTBLANK(A740:L740)=12,"",1)</f>
        <v/>
      </c>
      <c r="O740" s="40" t="n"/>
    </row>
    <row r="741" ht="15" customHeight="1" s="34">
      <c r="A741" s="48" t="n"/>
      <c r="B741" s="41">
        <f>IF(A741="","",TEXT(A741,"mmm"))</f>
        <v/>
      </c>
      <c r="C741" s="41" t="n"/>
      <c r="D741" s="42" t="n"/>
      <c r="E741" s="41" t="n"/>
      <c r="F741" s="41">
        <f>IFERROR(INDEX(销售员主数据!$B$2:$B$101,MATCH($E741,销售员主数据!$A$2:$A$101,0)),"")</f>
        <v/>
      </c>
      <c r="G741" s="41">
        <f>IFERROR(INDEX(销售员主数据!$C$2:$C$101,MATCH($E741,销售员主数据!$A$2:$A$101,0)),"")</f>
        <v/>
      </c>
      <c r="H741" s="41">
        <f>IFERROR(INDEX(销售员主数据!$D$2:$D$101,MATCH($E741,销售员主数据!$A$2:$A$101,0)),"")</f>
        <v/>
      </c>
      <c r="I741" s="43" t="n"/>
      <c r="J741" s="43" t="n"/>
      <c r="K741" s="44" t="n"/>
      <c r="L741" s="58" t="n"/>
      <c r="M741" s="59" t="n"/>
      <c r="N741" s="60">
        <f>IF(COUNTBLANK(A741:L741)=12,"",1)</f>
        <v/>
      </c>
      <c r="O741" s="42" t="n"/>
    </row>
    <row r="742" ht="15" customHeight="1" s="34">
      <c r="A742" s="46" t="n"/>
      <c r="B742" s="39">
        <f>IF(A742="","",TEXT(A742,"mmm"))</f>
        <v/>
      </c>
      <c r="C742" s="39" t="n"/>
      <c r="D742" s="40" t="n"/>
      <c r="E742" s="39" t="n"/>
      <c r="F742" s="39">
        <f>IFERROR(INDEX(销售员主数据!$B$2:$B$101,MATCH($E742,销售员主数据!$A$2:$A$101,0)),"")</f>
        <v/>
      </c>
      <c r="G742" s="39">
        <f>IFERROR(INDEX(销售员主数据!$C$2:$C$101,MATCH($E742,销售员主数据!$A$2:$A$101,0)),"")</f>
        <v/>
      </c>
      <c r="H742" s="39">
        <f>IFERROR(INDEX(销售员主数据!$D$2:$D$101,MATCH($E742,销售员主数据!$A$2:$A$101,0)),"")</f>
        <v/>
      </c>
      <c r="I742" s="50" t="n"/>
      <c r="J742" s="50" t="n"/>
      <c r="K742" s="54" t="n"/>
      <c r="L742" s="55" t="n"/>
      <c r="M742" s="56" t="n"/>
      <c r="N742" s="57">
        <f>IF(COUNTBLANK(A742:L742)=12,"",1)</f>
        <v/>
      </c>
      <c r="O742" s="40" t="n"/>
    </row>
    <row r="743" ht="15" customHeight="1" s="34">
      <c r="A743" s="48" t="n"/>
      <c r="B743" s="41">
        <f>IF(A743="","",TEXT(A743,"mmm"))</f>
        <v/>
      </c>
      <c r="C743" s="41" t="n"/>
      <c r="D743" s="42" t="n"/>
      <c r="E743" s="41" t="n"/>
      <c r="F743" s="41">
        <f>IFERROR(INDEX(销售员主数据!$B$2:$B$101,MATCH($E743,销售员主数据!$A$2:$A$101,0)),"")</f>
        <v/>
      </c>
      <c r="G743" s="41">
        <f>IFERROR(INDEX(销售员主数据!$C$2:$C$101,MATCH($E743,销售员主数据!$A$2:$A$101,0)),"")</f>
        <v/>
      </c>
      <c r="H743" s="41">
        <f>IFERROR(INDEX(销售员主数据!$D$2:$D$101,MATCH($E743,销售员主数据!$A$2:$A$101,0)),"")</f>
        <v/>
      </c>
      <c r="I743" s="43" t="n"/>
      <c r="J743" s="43" t="n"/>
      <c r="K743" s="44" t="n"/>
      <c r="L743" s="58" t="n"/>
      <c r="M743" s="59" t="n"/>
      <c r="N743" s="60">
        <f>IF(COUNTBLANK(A743:L743)=12,"",1)</f>
        <v/>
      </c>
      <c r="O743" s="42" t="n"/>
    </row>
    <row r="744" ht="15" customHeight="1" s="34">
      <c r="A744" s="46" t="n"/>
      <c r="B744" s="39">
        <f>IF(A744="","",TEXT(A744,"mmm"))</f>
        <v/>
      </c>
      <c r="C744" s="39" t="n"/>
      <c r="D744" s="40" t="n"/>
      <c r="E744" s="39" t="n"/>
      <c r="F744" s="39">
        <f>IFERROR(INDEX(销售员主数据!$B$2:$B$101,MATCH($E744,销售员主数据!$A$2:$A$101,0)),"")</f>
        <v/>
      </c>
      <c r="G744" s="39">
        <f>IFERROR(INDEX(销售员主数据!$C$2:$C$101,MATCH($E744,销售员主数据!$A$2:$A$101,0)),"")</f>
        <v/>
      </c>
      <c r="H744" s="39">
        <f>IFERROR(INDEX(销售员主数据!$D$2:$D$101,MATCH($E744,销售员主数据!$A$2:$A$101,0)),"")</f>
        <v/>
      </c>
      <c r="I744" s="50" t="n"/>
      <c r="J744" s="50" t="n"/>
      <c r="K744" s="54" t="n"/>
      <c r="L744" s="55" t="n"/>
      <c r="M744" s="56" t="n"/>
      <c r="N744" s="57">
        <f>IF(COUNTBLANK(A744:L744)=12,"",1)</f>
        <v/>
      </c>
      <c r="O744" s="40" t="n"/>
    </row>
    <row r="745" ht="15" customHeight="1" s="34">
      <c r="A745" s="48" t="n"/>
      <c r="B745" s="41">
        <f>IF(A745="","",TEXT(A745,"mmm"))</f>
        <v/>
      </c>
      <c r="C745" s="41" t="n"/>
      <c r="D745" s="42" t="n"/>
      <c r="E745" s="41" t="n"/>
      <c r="F745" s="41">
        <f>IFERROR(INDEX(销售员主数据!$B$2:$B$101,MATCH($E745,销售员主数据!$A$2:$A$101,0)),"")</f>
        <v/>
      </c>
      <c r="G745" s="41">
        <f>IFERROR(INDEX(销售员主数据!$C$2:$C$101,MATCH($E745,销售员主数据!$A$2:$A$101,0)),"")</f>
        <v/>
      </c>
      <c r="H745" s="41">
        <f>IFERROR(INDEX(销售员主数据!$D$2:$D$101,MATCH($E745,销售员主数据!$A$2:$A$101,0)),"")</f>
        <v/>
      </c>
      <c r="I745" s="43" t="n"/>
      <c r="J745" s="43" t="n"/>
      <c r="K745" s="44" t="n"/>
      <c r="L745" s="58" t="n"/>
      <c r="M745" s="59" t="n"/>
      <c r="N745" s="60">
        <f>IF(COUNTBLANK(A745:L745)=12,"",1)</f>
        <v/>
      </c>
      <c r="O745" s="42" t="n"/>
    </row>
    <row r="746" ht="15" customHeight="1" s="34">
      <c r="A746" s="46" t="n"/>
      <c r="B746" s="39">
        <f>IF(A746="","",TEXT(A746,"mmm"))</f>
        <v/>
      </c>
      <c r="C746" s="39" t="n"/>
      <c r="D746" s="40" t="n"/>
      <c r="E746" s="39" t="n"/>
      <c r="F746" s="39">
        <f>IFERROR(INDEX(销售员主数据!$B$2:$B$101,MATCH($E746,销售员主数据!$A$2:$A$101,0)),"")</f>
        <v/>
      </c>
      <c r="G746" s="39">
        <f>IFERROR(INDEX(销售员主数据!$C$2:$C$101,MATCH($E746,销售员主数据!$A$2:$A$101,0)),"")</f>
        <v/>
      </c>
      <c r="H746" s="39">
        <f>IFERROR(INDEX(销售员主数据!$D$2:$D$101,MATCH($E746,销售员主数据!$A$2:$A$101,0)),"")</f>
        <v/>
      </c>
      <c r="I746" s="50" t="n"/>
      <c r="J746" s="50" t="n"/>
      <c r="K746" s="54" t="n"/>
      <c r="L746" s="55" t="n"/>
      <c r="M746" s="56" t="n"/>
      <c r="N746" s="57">
        <f>IF(COUNTBLANK(A746:L746)=12,"",1)</f>
        <v/>
      </c>
      <c r="O746" s="40" t="n"/>
    </row>
    <row r="747" ht="15" customHeight="1" s="34">
      <c r="A747" s="48" t="n"/>
      <c r="B747" s="41">
        <f>IF(A747="","",TEXT(A747,"mmm"))</f>
        <v/>
      </c>
      <c r="C747" s="41" t="n"/>
      <c r="D747" s="42" t="n"/>
      <c r="E747" s="41" t="n"/>
      <c r="F747" s="41">
        <f>IFERROR(INDEX(销售员主数据!$B$2:$B$101,MATCH($E747,销售员主数据!$A$2:$A$101,0)),"")</f>
        <v/>
      </c>
      <c r="G747" s="41">
        <f>IFERROR(INDEX(销售员主数据!$C$2:$C$101,MATCH($E747,销售员主数据!$A$2:$A$101,0)),"")</f>
        <v/>
      </c>
      <c r="H747" s="41">
        <f>IFERROR(INDEX(销售员主数据!$D$2:$D$101,MATCH($E747,销售员主数据!$A$2:$A$101,0)),"")</f>
        <v/>
      </c>
      <c r="I747" s="43" t="n"/>
      <c r="J747" s="43" t="n"/>
      <c r="K747" s="44" t="n"/>
      <c r="L747" s="58" t="n"/>
      <c r="M747" s="59" t="n"/>
      <c r="N747" s="60">
        <f>IF(COUNTBLANK(A747:L747)=12,"",1)</f>
        <v/>
      </c>
      <c r="O747" s="42" t="n"/>
    </row>
    <row r="748" ht="15" customHeight="1" s="34">
      <c r="A748" s="46" t="n"/>
      <c r="B748" s="39">
        <f>IF(A748="","",TEXT(A748,"mmm"))</f>
        <v/>
      </c>
      <c r="C748" s="39" t="n"/>
      <c r="D748" s="40" t="n"/>
      <c r="E748" s="39" t="n"/>
      <c r="F748" s="39">
        <f>IFERROR(INDEX(销售员主数据!$B$2:$B$101,MATCH($E748,销售员主数据!$A$2:$A$101,0)),"")</f>
        <v/>
      </c>
      <c r="G748" s="39">
        <f>IFERROR(INDEX(销售员主数据!$C$2:$C$101,MATCH($E748,销售员主数据!$A$2:$A$101,0)),"")</f>
        <v/>
      </c>
      <c r="H748" s="39">
        <f>IFERROR(INDEX(销售员主数据!$D$2:$D$101,MATCH($E748,销售员主数据!$A$2:$A$101,0)),"")</f>
        <v/>
      </c>
      <c r="I748" s="50" t="n"/>
      <c r="J748" s="50" t="n"/>
      <c r="K748" s="54" t="n"/>
      <c r="L748" s="55" t="n"/>
      <c r="M748" s="56" t="n"/>
      <c r="N748" s="57">
        <f>IF(COUNTBLANK(A748:L748)=12,"",1)</f>
        <v/>
      </c>
      <c r="O748" s="40" t="n"/>
    </row>
    <row r="749" ht="15" customHeight="1" s="34">
      <c r="A749" s="48" t="n"/>
      <c r="B749" s="41">
        <f>IF(A749="","",TEXT(A749,"mmm"))</f>
        <v/>
      </c>
      <c r="C749" s="41" t="n"/>
      <c r="D749" s="42" t="n"/>
      <c r="E749" s="41" t="n"/>
      <c r="F749" s="41">
        <f>IFERROR(INDEX(销售员主数据!$B$2:$B$101,MATCH($E749,销售员主数据!$A$2:$A$101,0)),"")</f>
        <v/>
      </c>
      <c r="G749" s="41">
        <f>IFERROR(INDEX(销售员主数据!$C$2:$C$101,MATCH($E749,销售员主数据!$A$2:$A$101,0)),"")</f>
        <v/>
      </c>
      <c r="H749" s="41">
        <f>IFERROR(INDEX(销售员主数据!$D$2:$D$101,MATCH($E749,销售员主数据!$A$2:$A$101,0)),"")</f>
        <v/>
      </c>
      <c r="I749" s="43" t="n"/>
      <c r="J749" s="43" t="n"/>
      <c r="K749" s="44" t="n"/>
      <c r="L749" s="58" t="n"/>
      <c r="M749" s="59" t="n"/>
      <c r="N749" s="60">
        <f>IF(COUNTBLANK(A749:L749)=12,"",1)</f>
        <v/>
      </c>
      <c r="O749" s="42" t="n"/>
    </row>
    <row r="750" ht="15" customHeight="1" s="34">
      <c r="A750" s="46" t="n"/>
      <c r="B750" s="39">
        <f>IF(A750="","",TEXT(A750,"mmm"))</f>
        <v/>
      </c>
      <c r="C750" s="39" t="n"/>
      <c r="D750" s="40" t="n"/>
      <c r="E750" s="39" t="n"/>
      <c r="F750" s="39">
        <f>IFERROR(INDEX(销售员主数据!$B$2:$B$101,MATCH($E750,销售员主数据!$A$2:$A$101,0)),"")</f>
        <v/>
      </c>
      <c r="G750" s="39">
        <f>IFERROR(INDEX(销售员主数据!$C$2:$C$101,MATCH($E750,销售员主数据!$A$2:$A$101,0)),"")</f>
        <v/>
      </c>
      <c r="H750" s="39">
        <f>IFERROR(INDEX(销售员主数据!$D$2:$D$101,MATCH($E750,销售员主数据!$A$2:$A$101,0)),"")</f>
        <v/>
      </c>
      <c r="I750" s="50" t="n"/>
      <c r="J750" s="50" t="n"/>
      <c r="K750" s="54" t="n"/>
      <c r="L750" s="55" t="n"/>
      <c r="M750" s="56" t="n"/>
      <c r="N750" s="57">
        <f>IF(COUNTBLANK(A750:L750)=12,"",1)</f>
        <v/>
      </c>
      <c r="O750" s="40" t="n"/>
    </row>
    <row r="751" ht="15" customHeight="1" s="34">
      <c r="A751" s="48" t="n"/>
      <c r="B751" s="41">
        <f>IF(A751="","",TEXT(A751,"mmm"))</f>
        <v/>
      </c>
      <c r="C751" s="41" t="n"/>
      <c r="D751" s="42" t="n"/>
      <c r="E751" s="41" t="n"/>
      <c r="F751" s="41">
        <f>IFERROR(INDEX(销售员主数据!$B$2:$B$101,MATCH($E751,销售员主数据!$A$2:$A$101,0)),"")</f>
        <v/>
      </c>
      <c r="G751" s="41">
        <f>IFERROR(INDEX(销售员主数据!$C$2:$C$101,MATCH($E751,销售员主数据!$A$2:$A$101,0)),"")</f>
        <v/>
      </c>
      <c r="H751" s="41">
        <f>IFERROR(INDEX(销售员主数据!$D$2:$D$101,MATCH($E751,销售员主数据!$A$2:$A$101,0)),"")</f>
        <v/>
      </c>
      <c r="I751" s="43" t="n"/>
      <c r="J751" s="43" t="n"/>
      <c r="K751" s="44" t="n"/>
      <c r="L751" s="58" t="n"/>
      <c r="M751" s="59" t="n"/>
      <c r="N751" s="60">
        <f>IF(COUNTBLANK(A751:L751)=12,"",1)</f>
        <v/>
      </c>
      <c r="O751" s="42" t="n"/>
    </row>
    <row r="752" ht="15" customHeight="1" s="34">
      <c r="A752" s="46" t="n"/>
      <c r="B752" s="39">
        <f>IF(A752="","",TEXT(A752,"mmm"))</f>
        <v/>
      </c>
      <c r="C752" s="39" t="n"/>
      <c r="D752" s="40" t="n"/>
      <c r="E752" s="39" t="n"/>
      <c r="F752" s="39">
        <f>IFERROR(INDEX(销售员主数据!$B$2:$B$101,MATCH($E752,销售员主数据!$A$2:$A$101,0)),"")</f>
        <v/>
      </c>
      <c r="G752" s="39">
        <f>IFERROR(INDEX(销售员主数据!$C$2:$C$101,MATCH($E752,销售员主数据!$A$2:$A$101,0)),"")</f>
        <v/>
      </c>
      <c r="H752" s="39">
        <f>IFERROR(INDEX(销售员主数据!$D$2:$D$101,MATCH($E752,销售员主数据!$A$2:$A$101,0)),"")</f>
        <v/>
      </c>
      <c r="I752" s="50" t="n"/>
      <c r="J752" s="50" t="n"/>
      <c r="K752" s="54" t="n"/>
      <c r="L752" s="55" t="n"/>
      <c r="M752" s="56" t="n"/>
      <c r="N752" s="57">
        <f>IF(COUNTBLANK(A752:L752)=12,"",1)</f>
        <v/>
      </c>
      <c r="O752" s="40" t="n"/>
    </row>
    <row r="753" ht="15" customHeight="1" s="34">
      <c r="A753" s="48" t="n"/>
      <c r="B753" s="41">
        <f>IF(A753="","",TEXT(A753,"mmm"))</f>
        <v/>
      </c>
      <c r="C753" s="41" t="n"/>
      <c r="D753" s="42" t="n"/>
      <c r="E753" s="41" t="n"/>
      <c r="F753" s="41">
        <f>IFERROR(INDEX(销售员主数据!$B$2:$B$101,MATCH($E753,销售员主数据!$A$2:$A$101,0)),"")</f>
        <v/>
      </c>
      <c r="G753" s="41">
        <f>IFERROR(INDEX(销售员主数据!$C$2:$C$101,MATCH($E753,销售员主数据!$A$2:$A$101,0)),"")</f>
        <v/>
      </c>
      <c r="H753" s="41">
        <f>IFERROR(INDEX(销售员主数据!$D$2:$D$101,MATCH($E753,销售员主数据!$A$2:$A$101,0)),"")</f>
        <v/>
      </c>
      <c r="I753" s="43" t="n"/>
      <c r="J753" s="43" t="n"/>
      <c r="K753" s="44" t="n"/>
      <c r="L753" s="58" t="n"/>
      <c r="M753" s="59" t="n"/>
      <c r="N753" s="60">
        <f>IF(COUNTBLANK(A753:L753)=12,"",1)</f>
        <v/>
      </c>
      <c r="O753" s="42" t="n"/>
    </row>
    <row r="754" ht="15" customHeight="1" s="34">
      <c r="A754" s="46" t="n"/>
      <c r="B754" s="39">
        <f>IF(A754="","",TEXT(A754,"mmm"))</f>
        <v/>
      </c>
      <c r="C754" s="39" t="n"/>
      <c r="D754" s="40" t="n"/>
      <c r="E754" s="39" t="n"/>
      <c r="F754" s="39">
        <f>IFERROR(INDEX(销售员主数据!$B$2:$B$101,MATCH($E754,销售员主数据!$A$2:$A$101,0)),"")</f>
        <v/>
      </c>
      <c r="G754" s="39">
        <f>IFERROR(INDEX(销售员主数据!$C$2:$C$101,MATCH($E754,销售员主数据!$A$2:$A$101,0)),"")</f>
        <v/>
      </c>
      <c r="H754" s="39">
        <f>IFERROR(INDEX(销售员主数据!$D$2:$D$101,MATCH($E754,销售员主数据!$A$2:$A$101,0)),"")</f>
        <v/>
      </c>
      <c r="I754" s="50" t="n"/>
      <c r="J754" s="50" t="n"/>
      <c r="K754" s="54" t="n"/>
      <c r="L754" s="55" t="n"/>
      <c r="M754" s="56" t="n"/>
      <c r="N754" s="57">
        <f>IF(COUNTBLANK(A754:L754)=12,"",1)</f>
        <v/>
      </c>
      <c r="O754" s="40" t="n"/>
    </row>
    <row r="755" ht="15" customHeight="1" s="34">
      <c r="A755" s="48" t="n"/>
      <c r="B755" s="41">
        <f>IF(A755="","",TEXT(A755,"mmm"))</f>
        <v/>
      </c>
      <c r="C755" s="41" t="n"/>
      <c r="D755" s="42" t="n"/>
      <c r="E755" s="41" t="n"/>
      <c r="F755" s="41">
        <f>IFERROR(INDEX(销售员主数据!$B$2:$B$101,MATCH($E755,销售员主数据!$A$2:$A$101,0)),"")</f>
        <v/>
      </c>
      <c r="G755" s="41">
        <f>IFERROR(INDEX(销售员主数据!$C$2:$C$101,MATCH($E755,销售员主数据!$A$2:$A$101,0)),"")</f>
        <v/>
      </c>
      <c r="H755" s="41">
        <f>IFERROR(INDEX(销售员主数据!$D$2:$D$101,MATCH($E755,销售员主数据!$A$2:$A$101,0)),"")</f>
        <v/>
      </c>
      <c r="I755" s="43" t="n"/>
      <c r="J755" s="43" t="n"/>
      <c r="K755" s="44" t="n"/>
      <c r="L755" s="58" t="n"/>
      <c r="M755" s="59" t="n"/>
      <c r="N755" s="60">
        <f>IF(COUNTBLANK(A755:L755)=12,"",1)</f>
        <v/>
      </c>
      <c r="O755" s="42" t="n"/>
    </row>
    <row r="756" ht="15" customHeight="1" s="34">
      <c r="A756" s="46" t="n"/>
      <c r="B756" s="39">
        <f>IF(A756="","",TEXT(A756,"mmm"))</f>
        <v/>
      </c>
      <c r="C756" s="39" t="n"/>
      <c r="D756" s="40" t="n"/>
      <c r="E756" s="39" t="n"/>
      <c r="F756" s="39">
        <f>IFERROR(INDEX(销售员主数据!$B$2:$B$101,MATCH($E756,销售员主数据!$A$2:$A$101,0)),"")</f>
        <v/>
      </c>
      <c r="G756" s="39">
        <f>IFERROR(INDEX(销售员主数据!$C$2:$C$101,MATCH($E756,销售员主数据!$A$2:$A$101,0)),"")</f>
        <v/>
      </c>
      <c r="H756" s="39">
        <f>IFERROR(INDEX(销售员主数据!$D$2:$D$101,MATCH($E756,销售员主数据!$A$2:$A$101,0)),"")</f>
        <v/>
      </c>
      <c r="I756" s="50" t="n"/>
      <c r="J756" s="50" t="n"/>
      <c r="K756" s="54" t="n"/>
      <c r="L756" s="55" t="n"/>
      <c r="M756" s="56" t="n"/>
      <c r="N756" s="57">
        <f>IF(COUNTBLANK(A756:L756)=12,"",1)</f>
        <v/>
      </c>
      <c r="O756" s="40" t="n"/>
    </row>
    <row r="757" ht="15" customHeight="1" s="34">
      <c r="A757" s="48" t="n"/>
      <c r="B757" s="41">
        <f>IF(A757="","",TEXT(A757,"mmm"))</f>
        <v/>
      </c>
      <c r="C757" s="41" t="n"/>
      <c r="D757" s="42" t="n"/>
      <c r="E757" s="41" t="n"/>
      <c r="F757" s="41">
        <f>IFERROR(INDEX(销售员主数据!$B$2:$B$101,MATCH($E757,销售员主数据!$A$2:$A$101,0)),"")</f>
        <v/>
      </c>
      <c r="G757" s="41">
        <f>IFERROR(INDEX(销售员主数据!$C$2:$C$101,MATCH($E757,销售员主数据!$A$2:$A$101,0)),"")</f>
        <v/>
      </c>
      <c r="H757" s="41">
        <f>IFERROR(INDEX(销售员主数据!$D$2:$D$101,MATCH($E757,销售员主数据!$A$2:$A$101,0)),"")</f>
        <v/>
      </c>
      <c r="I757" s="43" t="n"/>
      <c r="J757" s="43" t="n"/>
      <c r="K757" s="44" t="n"/>
      <c r="L757" s="58" t="n"/>
      <c r="M757" s="59" t="n"/>
      <c r="N757" s="60">
        <f>IF(COUNTBLANK(A757:L757)=12,"",1)</f>
        <v/>
      </c>
      <c r="O757" s="42" t="n"/>
    </row>
    <row r="758" ht="15" customHeight="1" s="34">
      <c r="A758" s="46" t="n"/>
      <c r="B758" s="39">
        <f>IF(A758="","",TEXT(A758,"mmm"))</f>
        <v/>
      </c>
      <c r="C758" s="39" t="n"/>
      <c r="D758" s="40" t="n"/>
      <c r="E758" s="39" t="n"/>
      <c r="F758" s="39">
        <f>IFERROR(INDEX(销售员主数据!$B$2:$B$101,MATCH($E758,销售员主数据!$A$2:$A$101,0)),"")</f>
        <v/>
      </c>
      <c r="G758" s="39">
        <f>IFERROR(INDEX(销售员主数据!$C$2:$C$101,MATCH($E758,销售员主数据!$A$2:$A$101,0)),"")</f>
        <v/>
      </c>
      <c r="H758" s="39">
        <f>IFERROR(INDEX(销售员主数据!$D$2:$D$101,MATCH($E758,销售员主数据!$A$2:$A$101,0)),"")</f>
        <v/>
      </c>
      <c r="I758" s="50" t="n"/>
      <c r="J758" s="50" t="n"/>
      <c r="K758" s="54" t="n"/>
      <c r="L758" s="55" t="n"/>
      <c r="M758" s="56" t="n"/>
      <c r="N758" s="57">
        <f>IF(COUNTBLANK(A758:L758)=12,"",1)</f>
        <v/>
      </c>
      <c r="O758" s="40" t="n"/>
    </row>
    <row r="759" ht="15" customHeight="1" s="34">
      <c r="A759" s="48" t="n"/>
      <c r="B759" s="41">
        <f>IF(A759="","",TEXT(A759,"mmm"))</f>
        <v/>
      </c>
      <c r="C759" s="41" t="n"/>
      <c r="D759" s="42" t="n"/>
      <c r="E759" s="41" t="n"/>
      <c r="F759" s="41">
        <f>IFERROR(INDEX(销售员主数据!$B$2:$B$101,MATCH($E759,销售员主数据!$A$2:$A$101,0)),"")</f>
        <v/>
      </c>
      <c r="G759" s="41">
        <f>IFERROR(INDEX(销售员主数据!$C$2:$C$101,MATCH($E759,销售员主数据!$A$2:$A$101,0)),"")</f>
        <v/>
      </c>
      <c r="H759" s="41">
        <f>IFERROR(INDEX(销售员主数据!$D$2:$D$101,MATCH($E759,销售员主数据!$A$2:$A$101,0)),"")</f>
        <v/>
      </c>
      <c r="I759" s="43" t="n"/>
      <c r="J759" s="43" t="n"/>
      <c r="K759" s="44" t="n"/>
      <c r="L759" s="58" t="n"/>
      <c r="M759" s="59" t="n"/>
      <c r="N759" s="60">
        <f>IF(COUNTBLANK(A759:L759)=12,"",1)</f>
        <v/>
      </c>
      <c r="O759" s="42" t="n"/>
    </row>
    <row r="760" ht="15" customHeight="1" s="34">
      <c r="A760" s="46" t="n"/>
      <c r="B760" s="39">
        <f>IF(A760="","",TEXT(A760,"mmm"))</f>
        <v/>
      </c>
      <c r="C760" s="39" t="n"/>
      <c r="D760" s="40" t="n"/>
      <c r="E760" s="39" t="n"/>
      <c r="F760" s="39">
        <f>IFERROR(INDEX(销售员主数据!$B$2:$B$101,MATCH($E760,销售员主数据!$A$2:$A$101,0)),"")</f>
        <v/>
      </c>
      <c r="G760" s="39">
        <f>IFERROR(INDEX(销售员主数据!$C$2:$C$101,MATCH($E760,销售员主数据!$A$2:$A$101,0)),"")</f>
        <v/>
      </c>
      <c r="H760" s="39">
        <f>IFERROR(INDEX(销售员主数据!$D$2:$D$101,MATCH($E760,销售员主数据!$A$2:$A$101,0)),"")</f>
        <v/>
      </c>
      <c r="I760" s="50" t="n"/>
      <c r="J760" s="50" t="n"/>
      <c r="K760" s="54" t="n"/>
      <c r="L760" s="55" t="n"/>
      <c r="M760" s="56" t="n"/>
      <c r="N760" s="57">
        <f>IF(COUNTBLANK(A760:L760)=12,"",1)</f>
        <v/>
      </c>
      <c r="O760" s="40" t="n"/>
    </row>
    <row r="761" ht="15" customHeight="1" s="34">
      <c r="A761" s="48" t="n"/>
      <c r="B761" s="41">
        <f>IF(A761="","",TEXT(A761,"mmm"))</f>
        <v/>
      </c>
      <c r="C761" s="41" t="n"/>
      <c r="D761" s="42" t="n"/>
      <c r="E761" s="41" t="n"/>
      <c r="F761" s="41">
        <f>IFERROR(INDEX(销售员主数据!$B$2:$B$101,MATCH($E761,销售员主数据!$A$2:$A$101,0)),"")</f>
        <v/>
      </c>
      <c r="G761" s="41">
        <f>IFERROR(INDEX(销售员主数据!$C$2:$C$101,MATCH($E761,销售员主数据!$A$2:$A$101,0)),"")</f>
        <v/>
      </c>
      <c r="H761" s="41">
        <f>IFERROR(INDEX(销售员主数据!$D$2:$D$101,MATCH($E761,销售员主数据!$A$2:$A$101,0)),"")</f>
        <v/>
      </c>
      <c r="I761" s="43" t="n"/>
      <c r="J761" s="43" t="n"/>
      <c r="K761" s="44" t="n"/>
      <c r="L761" s="58" t="n"/>
      <c r="M761" s="59" t="n"/>
      <c r="N761" s="60">
        <f>IF(COUNTBLANK(A761:L761)=12,"",1)</f>
        <v/>
      </c>
      <c r="O761" s="42" t="n"/>
    </row>
    <row r="762" ht="15" customHeight="1" s="34">
      <c r="A762" s="46" t="n"/>
      <c r="B762" s="39">
        <f>IF(A762="","",TEXT(A762,"mmm"))</f>
        <v/>
      </c>
      <c r="C762" s="39" t="n"/>
      <c r="D762" s="40" t="n"/>
      <c r="E762" s="39" t="n"/>
      <c r="F762" s="39">
        <f>IFERROR(INDEX(销售员主数据!$B$2:$B$101,MATCH($E762,销售员主数据!$A$2:$A$101,0)),"")</f>
        <v/>
      </c>
      <c r="G762" s="39">
        <f>IFERROR(INDEX(销售员主数据!$C$2:$C$101,MATCH($E762,销售员主数据!$A$2:$A$101,0)),"")</f>
        <v/>
      </c>
      <c r="H762" s="39">
        <f>IFERROR(INDEX(销售员主数据!$D$2:$D$101,MATCH($E762,销售员主数据!$A$2:$A$101,0)),"")</f>
        <v/>
      </c>
      <c r="I762" s="50" t="n"/>
      <c r="J762" s="50" t="n"/>
      <c r="K762" s="54" t="n"/>
      <c r="L762" s="55" t="n"/>
      <c r="M762" s="56" t="n"/>
      <c r="N762" s="57">
        <f>IF(COUNTBLANK(A762:L762)=12,"",1)</f>
        <v/>
      </c>
      <c r="O762" s="40" t="n"/>
    </row>
    <row r="763" ht="15" customHeight="1" s="34">
      <c r="A763" s="48" t="n"/>
      <c r="B763" s="41">
        <f>IF(A763="","",TEXT(A763,"mmm"))</f>
        <v/>
      </c>
      <c r="C763" s="41" t="n"/>
      <c r="D763" s="42" t="n"/>
      <c r="E763" s="41" t="n"/>
      <c r="F763" s="41">
        <f>IFERROR(INDEX(销售员主数据!$B$2:$B$101,MATCH($E763,销售员主数据!$A$2:$A$101,0)),"")</f>
        <v/>
      </c>
      <c r="G763" s="41">
        <f>IFERROR(INDEX(销售员主数据!$C$2:$C$101,MATCH($E763,销售员主数据!$A$2:$A$101,0)),"")</f>
        <v/>
      </c>
      <c r="H763" s="41">
        <f>IFERROR(INDEX(销售员主数据!$D$2:$D$101,MATCH($E763,销售员主数据!$A$2:$A$101,0)),"")</f>
        <v/>
      </c>
      <c r="I763" s="43" t="n"/>
      <c r="J763" s="43" t="n"/>
      <c r="K763" s="44" t="n"/>
      <c r="L763" s="58" t="n"/>
      <c r="M763" s="59" t="n"/>
      <c r="N763" s="60">
        <f>IF(COUNTBLANK(A763:L763)=12,"",1)</f>
        <v/>
      </c>
      <c r="O763" s="42" t="n"/>
    </row>
    <row r="764" ht="15" customHeight="1" s="34">
      <c r="A764" s="46" t="n"/>
      <c r="B764" s="39">
        <f>IF(A764="","",TEXT(A764,"mmm"))</f>
        <v/>
      </c>
      <c r="C764" s="39" t="n"/>
      <c r="D764" s="40" t="n"/>
      <c r="E764" s="39" t="n"/>
      <c r="F764" s="39">
        <f>IFERROR(INDEX(销售员主数据!$B$2:$B$101,MATCH($E764,销售员主数据!$A$2:$A$101,0)),"")</f>
        <v/>
      </c>
      <c r="G764" s="39">
        <f>IFERROR(INDEX(销售员主数据!$C$2:$C$101,MATCH($E764,销售员主数据!$A$2:$A$101,0)),"")</f>
        <v/>
      </c>
      <c r="H764" s="39">
        <f>IFERROR(INDEX(销售员主数据!$D$2:$D$101,MATCH($E764,销售员主数据!$A$2:$A$101,0)),"")</f>
        <v/>
      </c>
      <c r="I764" s="50" t="n"/>
      <c r="J764" s="50" t="n"/>
      <c r="K764" s="54" t="n"/>
      <c r="L764" s="55" t="n"/>
      <c r="M764" s="56" t="n"/>
      <c r="N764" s="57">
        <f>IF(COUNTBLANK(A764:L764)=12,"",1)</f>
        <v/>
      </c>
      <c r="O764" s="40" t="n"/>
    </row>
    <row r="765" ht="15" customHeight="1" s="34">
      <c r="A765" s="48" t="n"/>
      <c r="B765" s="41">
        <f>IF(A765="","",TEXT(A765,"mmm"))</f>
        <v/>
      </c>
      <c r="C765" s="41" t="n"/>
      <c r="D765" s="42" t="n"/>
      <c r="E765" s="41" t="n"/>
      <c r="F765" s="41">
        <f>IFERROR(INDEX(销售员主数据!$B$2:$B$101,MATCH($E765,销售员主数据!$A$2:$A$101,0)),"")</f>
        <v/>
      </c>
      <c r="G765" s="41">
        <f>IFERROR(INDEX(销售员主数据!$C$2:$C$101,MATCH($E765,销售员主数据!$A$2:$A$101,0)),"")</f>
        <v/>
      </c>
      <c r="H765" s="41">
        <f>IFERROR(INDEX(销售员主数据!$D$2:$D$101,MATCH($E765,销售员主数据!$A$2:$A$101,0)),"")</f>
        <v/>
      </c>
      <c r="I765" s="43" t="n"/>
      <c r="J765" s="43" t="n"/>
      <c r="K765" s="44" t="n"/>
      <c r="L765" s="58" t="n"/>
      <c r="M765" s="59" t="n"/>
      <c r="N765" s="60">
        <f>IF(COUNTBLANK(A765:L765)=12,"",1)</f>
        <v/>
      </c>
      <c r="O765" s="42" t="n"/>
    </row>
    <row r="766" ht="15" customHeight="1" s="34">
      <c r="A766" s="46" t="n"/>
      <c r="B766" s="39">
        <f>IF(A766="","",TEXT(A766,"mmm"))</f>
        <v/>
      </c>
      <c r="C766" s="39" t="n"/>
      <c r="D766" s="40" t="n"/>
      <c r="E766" s="39" t="n"/>
      <c r="F766" s="39">
        <f>IFERROR(INDEX(销售员主数据!$B$2:$B$101,MATCH($E766,销售员主数据!$A$2:$A$101,0)),"")</f>
        <v/>
      </c>
      <c r="G766" s="39">
        <f>IFERROR(INDEX(销售员主数据!$C$2:$C$101,MATCH($E766,销售员主数据!$A$2:$A$101,0)),"")</f>
        <v/>
      </c>
      <c r="H766" s="39">
        <f>IFERROR(INDEX(销售员主数据!$D$2:$D$101,MATCH($E766,销售员主数据!$A$2:$A$101,0)),"")</f>
        <v/>
      </c>
      <c r="I766" s="50" t="n"/>
      <c r="J766" s="50" t="n"/>
      <c r="K766" s="54" t="n"/>
      <c r="L766" s="55" t="n"/>
      <c r="M766" s="56" t="n"/>
      <c r="N766" s="57">
        <f>IF(COUNTBLANK(A766:L766)=12,"",1)</f>
        <v/>
      </c>
      <c r="O766" s="40" t="n"/>
    </row>
    <row r="767" ht="15" customHeight="1" s="34">
      <c r="A767" s="48" t="n"/>
      <c r="B767" s="41">
        <f>IF(A767="","",TEXT(A767,"mmm"))</f>
        <v/>
      </c>
      <c r="C767" s="41" t="n"/>
      <c r="D767" s="42" t="n"/>
      <c r="E767" s="41" t="n"/>
      <c r="F767" s="41">
        <f>IFERROR(INDEX(销售员主数据!$B$2:$B$101,MATCH($E767,销售员主数据!$A$2:$A$101,0)),"")</f>
        <v/>
      </c>
      <c r="G767" s="41">
        <f>IFERROR(INDEX(销售员主数据!$C$2:$C$101,MATCH($E767,销售员主数据!$A$2:$A$101,0)),"")</f>
        <v/>
      </c>
      <c r="H767" s="41">
        <f>IFERROR(INDEX(销售员主数据!$D$2:$D$101,MATCH($E767,销售员主数据!$A$2:$A$101,0)),"")</f>
        <v/>
      </c>
      <c r="I767" s="43" t="n"/>
      <c r="J767" s="43" t="n"/>
      <c r="K767" s="44" t="n"/>
      <c r="L767" s="58" t="n"/>
      <c r="M767" s="59" t="n"/>
      <c r="N767" s="60">
        <f>IF(COUNTBLANK(A767:L767)=12,"",1)</f>
        <v/>
      </c>
      <c r="O767" s="42" t="n"/>
    </row>
    <row r="768" ht="15" customHeight="1" s="34">
      <c r="A768" s="46" t="n"/>
      <c r="B768" s="39">
        <f>IF(A768="","",TEXT(A768,"mmm"))</f>
        <v/>
      </c>
      <c r="C768" s="39" t="n"/>
      <c r="D768" s="40" t="n"/>
      <c r="E768" s="39" t="n"/>
      <c r="F768" s="39">
        <f>IFERROR(INDEX(销售员主数据!$B$2:$B$101,MATCH($E768,销售员主数据!$A$2:$A$101,0)),"")</f>
        <v/>
      </c>
      <c r="G768" s="39">
        <f>IFERROR(INDEX(销售员主数据!$C$2:$C$101,MATCH($E768,销售员主数据!$A$2:$A$101,0)),"")</f>
        <v/>
      </c>
      <c r="H768" s="39">
        <f>IFERROR(INDEX(销售员主数据!$D$2:$D$101,MATCH($E768,销售员主数据!$A$2:$A$101,0)),"")</f>
        <v/>
      </c>
      <c r="I768" s="50" t="n"/>
      <c r="J768" s="50" t="n"/>
      <c r="K768" s="54" t="n"/>
      <c r="L768" s="55" t="n"/>
      <c r="M768" s="56" t="n"/>
      <c r="N768" s="57">
        <f>IF(COUNTBLANK(A768:L768)=12,"",1)</f>
        <v/>
      </c>
      <c r="O768" s="40" t="n"/>
    </row>
    <row r="769" ht="15" customHeight="1" s="34">
      <c r="A769" s="48" t="n"/>
      <c r="B769" s="41">
        <f>IF(A769="","",TEXT(A769,"mmm"))</f>
        <v/>
      </c>
      <c r="C769" s="41" t="n"/>
      <c r="D769" s="42" t="n"/>
      <c r="E769" s="41" t="n"/>
      <c r="F769" s="41">
        <f>IFERROR(INDEX(销售员主数据!$B$2:$B$101,MATCH($E769,销售员主数据!$A$2:$A$101,0)),"")</f>
        <v/>
      </c>
      <c r="G769" s="41">
        <f>IFERROR(INDEX(销售员主数据!$C$2:$C$101,MATCH($E769,销售员主数据!$A$2:$A$101,0)),"")</f>
        <v/>
      </c>
      <c r="H769" s="41">
        <f>IFERROR(INDEX(销售员主数据!$D$2:$D$101,MATCH($E769,销售员主数据!$A$2:$A$101,0)),"")</f>
        <v/>
      </c>
      <c r="I769" s="43" t="n"/>
      <c r="J769" s="43" t="n"/>
      <c r="K769" s="44" t="n"/>
      <c r="L769" s="58" t="n"/>
      <c r="M769" s="59" t="n"/>
      <c r="N769" s="60">
        <f>IF(COUNTBLANK(A769:L769)=12,"",1)</f>
        <v/>
      </c>
      <c r="O769" s="42" t="n"/>
    </row>
    <row r="770" ht="15" customHeight="1" s="34">
      <c r="A770" s="46" t="n"/>
      <c r="B770" s="39">
        <f>IF(A770="","",TEXT(A770,"mmm"))</f>
        <v/>
      </c>
      <c r="C770" s="39" t="n"/>
      <c r="D770" s="40" t="n"/>
      <c r="E770" s="39" t="n"/>
      <c r="F770" s="39">
        <f>IFERROR(INDEX(销售员主数据!$B$2:$B$101,MATCH($E770,销售员主数据!$A$2:$A$101,0)),"")</f>
        <v/>
      </c>
      <c r="G770" s="39">
        <f>IFERROR(INDEX(销售员主数据!$C$2:$C$101,MATCH($E770,销售员主数据!$A$2:$A$101,0)),"")</f>
        <v/>
      </c>
      <c r="H770" s="39">
        <f>IFERROR(INDEX(销售员主数据!$D$2:$D$101,MATCH($E770,销售员主数据!$A$2:$A$101,0)),"")</f>
        <v/>
      </c>
      <c r="I770" s="50" t="n"/>
      <c r="J770" s="50" t="n"/>
      <c r="K770" s="54" t="n"/>
      <c r="L770" s="55" t="n"/>
      <c r="M770" s="56" t="n"/>
      <c r="N770" s="57">
        <f>IF(COUNTBLANK(A770:L770)=12,"",1)</f>
        <v/>
      </c>
      <c r="O770" s="40" t="n"/>
    </row>
    <row r="771" ht="15" customHeight="1" s="34">
      <c r="A771" s="48" t="n"/>
      <c r="B771" s="41">
        <f>IF(A771="","",TEXT(A771,"mmm"))</f>
        <v/>
      </c>
      <c r="C771" s="41" t="n"/>
      <c r="D771" s="42" t="n"/>
      <c r="E771" s="41" t="n"/>
      <c r="F771" s="41">
        <f>IFERROR(INDEX(销售员主数据!$B$2:$B$101,MATCH($E771,销售员主数据!$A$2:$A$101,0)),"")</f>
        <v/>
      </c>
      <c r="G771" s="41">
        <f>IFERROR(INDEX(销售员主数据!$C$2:$C$101,MATCH($E771,销售员主数据!$A$2:$A$101,0)),"")</f>
        <v/>
      </c>
      <c r="H771" s="41">
        <f>IFERROR(INDEX(销售员主数据!$D$2:$D$101,MATCH($E771,销售员主数据!$A$2:$A$101,0)),"")</f>
        <v/>
      </c>
      <c r="I771" s="43" t="n"/>
      <c r="J771" s="43" t="n"/>
      <c r="K771" s="44" t="n"/>
      <c r="L771" s="58" t="n"/>
      <c r="M771" s="59" t="n"/>
      <c r="N771" s="60">
        <f>IF(COUNTBLANK(A771:L771)=12,"",1)</f>
        <v/>
      </c>
      <c r="O771" s="42" t="n"/>
    </row>
    <row r="772" ht="15" customHeight="1" s="34">
      <c r="A772" s="46" t="n"/>
      <c r="B772" s="39">
        <f>IF(A772="","",TEXT(A772,"mmm"))</f>
        <v/>
      </c>
      <c r="C772" s="39" t="n"/>
      <c r="D772" s="40" t="n"/>
      <c r="E772" s="39" t="n"/>
      <c r="F772" s="39">
        <f>IFERROR(INDEX(销售员主数据!$B$2:$B$101,MATCH($E772,销售员主数据!$A$2:$A$101,0)),"")</f>
        <v/>
      </c>
      <c r="G772" s="39">
        <f>IFERROR(INDEX(销售员主数据!$C$2:$C$101,MATCH($E772,销售员主数据!$A$2:$A$101,0)),"")</f>
        <v/>
      </c>
      <c r="H772" s="39">
        <f>IFERROR(INDEX(销售员主数据!$D$2:$D$101,MATCH($E772,销售员主数据!$A$2:$A$101,0)),"")</f>
        <v/>
      </c>
      <c r="I772" s="50" t="n"/>
      <c r="J772" s="50" t="n"/>
      <c r="K772" s="54" t="n"/>
      <c r="L772" s="55" t="n"/>
      <c r="M772" s="56" t="n"/>
      <c r="N772" s="57">
        <f>IF(COUNTBLANK(A772:L772)=12,"",1)</f>
        <v/>
      </c>
      <c r="O772" s="40" t="n"/>
    </row>
    <row r="773" ht="15" customHeight="1" s="34">
      <c r="A773" s="48" t="n"/>
      <c r="B773" s="41">
        <f>IF(A773="","",TEXT(A773,"mmm"))</f>
        <v/>
      </c>
      <c r="C773" s="41" t="n"/>
      <c r="D773" s="42" t="n"/>
      <c r="E773" s="41" t="n"/>
      <c r="F773" s="41">
        <f>IFERROR(INDEX(销售员主数据!$B$2:$B$101,MATCH($E773,销售员主数据!$A$2:$A$101,0)),"")</f>
        <v/>
      </c>
      <c r="G773" s="41">
        <f>IFERROR(INDEX(销售员主数据!$C$2:$C$101,MATCH($E773,销售员主数据!$A$2:$A$101,0)),"")</f>
        <v/>
      </c>
      <c r="H773" s="41">
        <f>IFERROR(INDEX(销售员主数据!$D$2:$D$101,MATCH($E773,销售员主数据!$A$2:$A$101,0)),"")</f>
        <v/>
      </c>
      <c r="I773" s="43" t="n"/>
      <c r="J773" s="43" t="n"/>
      <c r="K773" s="44" t="n"/>
      <c r="L773" s="58" t="n"/>
      <c r="M773" s="59" t="n"/>
      <c r="N773" s="60">
        <f>IF(COUNTBLANK(A773:L773)=12,"",1)</f>
        <v/>
      </c>
      <c r="O773" s="42" t="n"/>
    </row>
    <row r="774" ht="15" customHeight="1" s="34">
      <c r="A774" s="46" t="n"/>
      <c r="B774" s="39">
        <f>IF(A774="","",TEXT(A774,"mmm"))</f>
        <v/>
      </c>
      <c r="C774" s="39" t="n"/>
      <c r="D774" s="40" t="n"/>
      <c r="E774" s="39" t="n"/>
      <c r="F774" s="39">
        <f>IFERROR(INDEX(销售员主数据!$B$2:$B$101,MATCH($E774,销售员主数据!$A$2:$A$101,0)),"")</f>
        <v/>
      </c>
      <c r="G774" s="39">
        <f>IFERROR(INDEX(销售员主数据!$C$2:$C$101,MATCH($E774,销售员主数据!$A$2:$A$101,0)),"")</f>
        <v/>
      </c>
      <c r="H774" s="39">
        <f>IFERROR(INDEX(销售员主数据!$D$2:$D$101,MATCH($E774,销售员主数据!$A$2:$A$101,0)),"")</f>
        <v/>
      </c>
      <c r="I774" s="50" t="n"/>
      <c r="J774" s="50" t="n"/>
      <c r="K774" s="54" t="n"/>
      <c r="L774" s="55" t="n"/>
      <c r="M774" s="56" t="n"/>
      <c r="N774" s="57">
        <f>IF(COUNTBLANK(A774:L774)=12,"",1)</f>
        <v/>
      </c>
      <c r="O774" s="40" t="n"/>
    </row>
    <row r="775" ht="15" customHeight="1" s="34">
      <c r="A775" s="48" t="n"/>
      <c r="B775" s="41">
        <f>IF(A775="","",TEXT(A775,"mmm"))</f>
        <v/>
      </c>
      <c r="C775" s="41" t="n"/>
      <c r="D775" s="42" t="n"/>
      <c r="E775" s="41" t="n"/>
      <c r="F775" s="41">
        <f>IFERROR(INDEX(销售员主数据!$B$2:$B$101,MATCH($E775,销售员主数据!$A$2:$A$101,0)),"")</f>
        <v/>
      </c>
      <c r="G775" s="41">
        <f>IFERROR(INDEX(销售员主数据!$C$2:$C$101,MATCH($E775,销售员主数据!$A$2:$A$101,0)),"")</f>
        <v/>
      </c>
      <c r="H775" s="41">
        <f>IFERROR(INDEX(销售员主数据!$D$2:$D$101,MATCH($E775,销售员主数据!$A$2:$A$101,0)),"")</f>
        <v/>
      </c>
      <c r="I775" s="43" t="n"/>
      <c r="J775" s="43" t="n"/>
      <c r="K775" s="44" t="n"/>
      <c r="L775" s="58" t="n"/>
      <c r="M775" s="59" t="n"/>
      <c r="N775" s="60">
        <f>IF(COUNTBLANK(A775:L775)=12,"",1)</f>
        <v/>
      </c>
      <c r="O775" s="42" t="n"/>
    </row>
    <row r="776" ht="15" customHeight="1" s="34">
      <c r="A776" s="46" t="n"/>
      <c r="B776" s="39">
        <f>IF(A776="","",TEXT(A776,"mmm"))</f>
        <v/>
      </c>
      <c r="C776" s="39" t="n"/>
      <c r="D776" s="40" t="n"/>
      <c r="E776" s="39" t="n"/>
      <c r="F776" s="39">
        <f>IFERROR(INDEX(销售员主数据!$B$2:$B$101,MATCH($E776,销售员主数据!$A$2:$A$101,0)),"")</f>
        <v/>
      </c>
      <c r="G776" s="39">
        <f>IFERROR(INDEX(销售员主数据!$C$2:$C$101,MATCH($E776,销售员主数据!$A$2:$A$101,0)),"")</f>
        <v/>
      </c>
      <c r="H776" s="39">
        <f>IFERROR(INDEX(销售员主数据!$D$2:$D$101,MATCH($E776,销售员主数据!$A$2:$A$101,0)),"")</f>
        <v/>
      </c>
      <c r="I776" s="50" t="n"/>
      <c r="J776" s="50" t="n"/>
      <c r="K776" s="54" t="n"/>
      <c r="L776" s="55" t="n"/>
      <c r="M776" s="56" t="n"/>
      <c r="N776" s="57">
        <f>IF(COUNTBLANK(A776:L776)=12,"",1)</f>
        <v/>
      </c>
      <c r="O776" s="40" t="n"/>
    </row>
    <row r="777" ht="15" customHeight="1" s="34">
      <c r="A777" s="48" t="n"/>
      <c r="B777" s="41">
        <f>IF(A777="","",TEXT(A777,"mmm"))</f>
        <v/>
      </c>
      <c r="C777" s="41" t="n"/>
      <c r="D777" s="42" t="n"/>
      <c r="E777" s="41" t="n"/>
      <c r="F777" s="41">
        <f>IFERROR(INDEX(销售员主数据!$B$2:$B$101,MATCH($E777,销售员主数据!$A$2:$A$101,0)),"")</f>
        <v/>
      </c>
      <c r="G777" s="41">
        <f>IFERROR(INDEX(销售员主数据!$C$2:$C$101,MATCH($E777,销售员主数据!$A$2:$A$101,0)),"")</f>
        <v/>
      </c>
      <c r="H777" s="41">
        <f>IFERROR(INDEX(销售员主数据!$D$2:$D$101,MATCH($E777,销售员主数据!$A$2:$A$101,0)),"")</f>
        <v/>
      </c>
      <c r="I777" s="43" t="n"/>
      <c r="J777" s="43" t="n"/>
      <c r="K777" s="44" t="n"/>
      <c r="L777" s="58" t="n"/>
      <c r="M777" s="59" t="n"/>
      <c r="N777" s="60">
        <f>IF(COUNTBLANK(A777:L777)=12,"",1)</f>
        <v/>
      </c>
      <c r="O777" s="42" t="n"/>
    </row>
    <row r="778" ht="15" customHeight="1" s="34">
      <c r="A778" s="46" t="n"/>
      <c r="B778" s="39">
        <f>IF(A778="","",TEXT(A778,"mmm"))</f>
        <v/>
      </c>
      <c r="C778" s="39" t="n"/>
      <c r="D778" s="40" t="n"/>
      <c r="E778" s="39" t="n"/>
      <c r="F778" s="39">
        <f>IFERROR(INDEX(销售员主数据!$B$2:$B$101,MATCH($E778,销售员主数据!$A$2:$A$101,0)),"")</f>
        <v/>
      </c>
      <c r="G778" s="39">
        <f>IFERROR(INDEX(销售员主数据!$C$2:$C$101,MATCH($E778,销售员主数据!$A$2:$A$101,0)),"")</f>
        <v/>
      </c>
      <c r="H778" s="39">
        <f>IFERROR(INDEX(销售员主数据!$D$2:$D$101,MATCH($E778,销售员主数据!$A$2:$A$101,0)),"")</f>
        <v/>
      </c>
      <c r="I778" s="50" t="n"/>
      <c r="J778" s="50" t="n"/>
      <c r="K778" s="54" t="n"/>
      <c r="L778" s="55" t="n"/>
      <c r="M778" s="56" t="n"/>
      <c r="N778" s="57">
        <f>IF(COUNTBLANK(A778:L778)=12,"",1)</f>
        <v/>
      </c>
      <c r="O778" s="40" t="n"/>
    </row>
    <row r="779" ht="15" customHeight="1" s="34">
      <c r="A779" s="48" t="n"/>
      <c r="B779" s="41">
        <f>IF(A779="","",TEXT(A779,"mmm"))</f>
        <v/>
      </c>
      <c r="C779" s="41" t="n"/>
      <c r="D779" s="42" t="n"/>
      <c r="E779" s="41" t="n"/>
      <c r="F779" s="41">
        <f>IFERROR(INDEX(销售员主数据!$B$2:$B$101,MATCH($E779,销售员主数据!$A$2:$A$101,0)),"")</f>
        <v/>
      </c>
      <c r="G779" s="41">
        <f>IFERROR(INDEX(销售员主数据!$C$2:$C$101,MATCH($E779,销售员主数据!$A$2:$A$101,0)),"")</f>
        <v/>
      </c>
      <c r="H779" s="41">
        <f>IFERROR(INDEX(销售员主数据!$D$2:$D$101,MATCH($E779,销售员主数据!$A$2:$A$101,0)),"")</f>
        <v/>
      </c>
      <c r="I779" s="43" t="n"/>
      <c r="J779" s="43" t="n"/>
      <c r="K779" s="44" t="n"/>
      <c r="L779" s="58" t="n"/>
      <c r="M779" s="59" t="n"/>
      <c r="N779" s="60">
        <f>IF(COUNTBLANK(A779:L779)=12,"",1)</f>
        <v/>
      </c>
      <c r="O779" s="42" t="n"/>
    </row>
    <row r="780" ht="15" customHeight="1" s="34">
      <c r="A780" s="46" t="n"/>
      <c r="B780" s="39">
        <f>IF(A780="","",TEXT(A780,"mmm"))</f>
        <v/>
      </c>
      <c r="C780" s="39" t="n"/>
      <c r="D780" s="40" t="n"/>
      <c r="E780" s="39" t="n"/>
      <c r="F780" s="39">
        <f>IFERROR(INDEX(销售员主数据!$B$2:$B$101,MATCH($E780,销售员主数据!$A$2:$A$101,0)),"")</f>
        <v/>
      </c>
      <c r="G780" s="39">
        <f>IFERROR(INDEX(销售员主数据!$C$2:$C$101,MATCH($E780,销售员主数据!$A$2:$A$101,0)),"")</f>
        <v/>
      </c>
      <c r="H780" s="39">
        <f>IFERROR(INDEX(销售员主数据!$D$2:$D$101,MATCH($E780,销售员主数据!$A$2:$A$101,0)),"")</f>
        <v/>
      </c>
      <c r="I780" s="50" t="n"/>
      <c r="J780" s="50" t="n"/>
      <c r="K780" s="54" t="n"/>
      <c r="L780" s="55" t="n"/>
      <c r="M780" s="56" t="n"/>
      <c r="N780" s="57">
        <f>IF(COUNTBLANK(A780:L780)=12,"",1)</f>
        <v/>
      </c>
      <c r="O780" s="40" t="n"/>
    </row>
    <row r="781" ht="15" customHeight="1" s="34">
      <c r="A781" s="48" t="n"/>
      <c r="B781" s="41">
        <f>IF(A781="","",TEXT(A781,"mmm"))</f>
        <v/>
      </c>
      <c r="C781" s="41" t="n"/>
      <c r="D781" s="42" t="n"/>
      <c r="E781" s="41" t="n"/>
      <c r="F781" s="41">
        <f>IFERROR(INDEX(销售员主数据!$B$2:$B$101,MATCH($E781,销售员主数据!$A$2:$A$101,0)),"")</f>
        <v/>
      </c>
      <c r="G781" s="41">
        <f>IFERROR(INDEX(销售员主数据!$C$2:$C$101,MATCH($E781,销售员主数据!$A$2:$A$101,0)),"")</f>
        <v/>
      </c>
      <c r="H781" s="41">
        <f>IFERROR(INDEX(销售员主数据!$D$2:$D$101,MATCH($E781,销售员主数据!$A$2:$A$101,0)),"")</f>
        <v/>
      </c>
      <c r="I781" s="43" t="n"/>
      <c r="J781" s="43" t="n"/>
      <c r="K781" s="44" t="n"/>
      <c r="L781" s="58" t="n"/>
      <c r="M781" s="59" t="n"/>
      <c r="N781" s="60">
        <f>IF(COUNTBLANK(A781:L781)=12,"",1)</f>
        <v/>
      </c>
      <c r="O781" s="42" t="n"/>
    </row>
    <row r="782" ht="15" customHeight="1" s="34">
      <c r="A782" s="46" t="n"/>
      <c r="B782" s="39">
        <f>IF(A782="","",TEXT(A782,"mmm"))</f>
        <v/>
      </c>
      <c r="C782" s="39" t="n"/>
      <c r="D782" s="40" t="n"/>
      <c r="E782" s="39" t="n"/>
      <c r="F782" s="39">
        <f>IFERROR(INDEX(销售员主数据!$B$2:$B$101,MATCH($E782,销售员主数据!$A$2:$A$101,0)),"")</f>
        <v/>
      </c>
      <c r="G782" s="39">
        <f>IFERROR(INDEX(销售员主数据!$C$2:$C$101,MATCH($E782,销售员主数据!$A$2:$A$101,0)),"")</f>
        <v/>
      </c>
      <c r="H782" s="39">
        <f>IFERROR(INDEX(销售员主数据!$D$2:$D$101,MATCH($E782,销售员主数据!$A$2:$A$101,0)),"")</f>
        <v/>
      </c>
      <c r="I782" s="50" t="n"/>
      <c r="J782" s="50" t="n"/>
      <c r="K782" s="54" t="n"/>
      <c r="L782" s="55" t="n"/>
      <c r="M782" s="56" t="n"/>
      <c r="N782" s="57">
        <f>IF(COUNTBLANK(A782:L782)=12,"",1)</f>
        <v/>
      </c>
      <c r="O782" s="40" t="n"/>
    </row>
    <row r="783" ht="15" customHeight="1" s="34">
      <c r="A783" s="48" t="n"/>
      <c r="B783" s="41">
        <f>IF(A783="","",TEXT(A783,"mmm"))</f>
        <v/>
      </c>
      <c r="C783" s="41" t="n"/>
      <c r="D783" s="42" t="n"/>
      <c r="E783" s="41" t="n"/>
      <c r="F783" s="41">
        <f>IFERROR(INDEX(销售员主数据!$B$2:$B$101,MATCH($E783,销售员主数据!$A$2:$A$101,0)),"")</f>
        <v/>
      </c>
      <c r="G783" s="41">
        <f>IFERROR(INDEX(销售员主数据!$C$2:$C$101,MATCH($E783,销售员主数据!$A$2:$A$101,0)),"")</f>
        <v/>
      </c>
      <c r="H783" s="41">
        <f>IFERROR(INDEX(销售员主数据!$D$2:$D$101,MATCH($E783,销售员主数据!$A$2:$A$101,0)),"")</f>
        <v/>
      </c>
      <c r="I783" s="43" t="n"/>
      <c r="J783" s="43" t="n"/>
      <c r="K783" s="44" t="n"/>
      <c r="L783" s="58" t="n"/>
      <c r="M783" s="59" t="n"/>
      <c r="N783" s="60">
        <f>IF(COUNTBLANK(A783:L783)=12,"",1)</f>
        <v/>
      </c>
      <c r="O783" s="42" t="n"/>
    </row>
    <row r="784" ht="15" customHeight="1" s="34">
      <c r="A784" s="46" t="n"/>
      <c r="B784" s="39">
        <f>IF(A784="","",TEXT(A784,"mmm"))</f>
        <v/>
      </c>
      <c r="C784" s="39" t="n"/>
      <c r="D784" s="40" t="n"/>
      <c r="E784" s="39" t="n"/>
      <c r="F784" s="39">
        <f>IFERROR(INDEX(销售员主数据!$B$2:$B$101,MATCH($E784,销售员主数据!$A$2:$A$101,0)),"")</f>
        <v/>
      </c>
      <c r="G784" s="39">
        <f>IFERROR(INDEX(销售员主数据!$C$2:$C$101,MATCH($E784,销售员主数据!$A$2:$A$101,0)),"")</f>
        <v/>
      </c>
      <c r="H784" s="39">
        <f>IFERROR(INDEX(销售员主数据!$D$2:$D$101,MATCH($E784,销售员主数据!$A$2:$A$101,0)),"")</f>
        <v/>
      </c>
      <c r="I784" s="50" t="n"/>
      <c r="J784" s="50" t="n"/>
      <c r="K784" s="54" t="n"/>
      <c r="L784" s="55" t="n"/>
      <c r="M784" s="56" t="n"/>
      <c r="N784" s="57">
        <f>IF(COUNTBLANK(A784:L784)=12,"",1)</f>
        <v/>
      </c>
      <c r="O784" s="40" t="n"/>
    </row>
    <row r="785" ht="15" customHeight="1" s="34">
      <c r="A785" s="48" t="n"/>
      <c r="B785" s="41">
        <f>IF(A785="","",TEXT(A785,"mmm"))</f>
        <v/>
      </c>
      <c r="C785" s="41" t="n"/>
      <c r="D785" s="42" t="n"/>
      <c r="E785" s="41" t="n"/>
      <c r="F785" s="41">
        <f>IFERROR(INDEX(销售员主数据!$B$2:$B$101,MATCH($E785,销售员主数据!$A$2:$A$101,0)),"")</f>
        <v/>
      </c>
      <c r="G785" s="41">
        <f>IFERROR(INDEX(销售员主数据!$C$2:$C$101,MATCH($E785,销售员主数据!$A$2:$A$101,0)),"")</f>
        <v/>
      </c>
      <c r="H785" s="41">
        <f>IFERROR(INDEX(销售员主数据!$D$2:$D$101,MATCH($E785,销售员主数据!$A$2:$A$101,0)),"")</f>
        <v/>
      </c>
      <c r="I785" s="43" t="n"/>
      <c r="J785" s="43" t="n"/>
      <c r="K785" s="44" t="n"/>
      <c r="L785" s="58" t="n"/>
      <c r="M785" s="59" t="n"/>
      <c r="N785" s="60">
        <f>IF(COUNTBLANK(A785:L785)=12,"",1)</f>
        <v/>
      </c>
      <c r="O785" s="42" t="n"/>
    </row>
    <row r="786" ht="15" customHeight="1" s="34">
      <c r="A786" s="46" t="n"/>
      <c r="B786" s="39">
        <f>IF(A786="","",TEXT(A786,"mmm"))</f>
        <v/>
      </c>
      <c r="C786" s="39" t="n"/>
      <c r="D786" s="40" t="n"/>
      <c r="E786" s="39" t="n"/>
      <c r="F786" s="39">
        <f>IFERROR(INDEX(销售员主数据!$B$2:$B$101,MATCH($E786,销售员主数据!$A$2:$A$101,0)),"")</f>
        <v/>
      </c>
      <c r="G786" s="39">
        <f>IFERROR(INDEX(销售员主数据!$C$2:$C$101,MATCH($E786,销售员主数据!$A$2:$A$101,0)),"")</f>
        <v/>
      </c>
      <c r="H786" s="39">
        <f>IFERROR(INDEX(销售员主数据!$D$2:$D$101,MATCH($E786,销售员主数据!$A$2:$A$101,0)),"")</f>
        <v/>
      </c>
      <c r="I786" s="50" t="n"/>
      <c r="J786" s="50" t="n"/>
      <c r="K786" s="54" t="n"/>
      <c r="L786" s="55" t="n"/>
      <c r="M786" s="56" t="n"/>
      <c r="N786" s="57">
        <f>IF(COUNTBLANK(A786:L786)=12,"",1)</f>
        <v/>
      </c>
      <c r="O786" s="40" t="n"/>
    </row>
    <row r="787" ht="15" customHeight="1" s="34">
      <c r="A787" s="48" t="n"/>
      <c r="B787" s="41">
        <f>IF(A787="","",TEXT(A787,"mmm"))</f>
        <v/>
      </c>
      <c r="C787" s="41" t="n"/>
      <c r="D787" s="42" t="n"/>
      <c r="E787" s="41" t="n"/>
      <c r="F787" s="41">
        <f>IFERROR(INDEX(销售员主数据!$B$2:$B$101,MATCH($E787,销售员主数据!$A$2:$A$101,0)),"")</f>
        <v/>
      </c>
      <c r="G787" s="41">
        <f>IFERROR(INDEX(销售员主数据!$C$2:$C$101,MATCH($E787,销售员主数据!$A$2:$A$101,0)),"")</f>
        <v/>
      </c>
      <c r="H787" s="41">
        <f>IFERROR(INDEX(销售员主数据!$D$2:$D$101,MATCH($E787,销售员主数据!$A$2:$A$101,0)),"")</f>
        <v/>
      </c>
      <c r="I787" s="43" t="n"/>
      <c r="J787" s="43" t="n"/>
      <c r="K787" s="44" t="n"/>
      <c r="L787" s="58" t="n"/>
      <c r="M787" s="59" t="n"/>
      <c r="N787" s="60">
        <f>IF(COUNTBLANK(A787:L787)=12,"",1)</f>
        <v/>
      </c>
      <c r="O787" s="42" t="n"/>
    </row>
    <row r="788" ht="15" customHeight="1" s="34">
      <c r="A788" s="46" t="n"/>
      <c r="B788" s="39">
        <f>IF(A788="","",TEXT(A788,"mmm"))</f>
        <v/>
      </c>
      <c r="C788" s="39" t="n"/>
      <c r="D788" s="40" t="n"/>
      <c r="E788" s="39" t="n"/>
      <c r="F788" s="39">
        <f>IFERROR(INDEX(销售员主数据!$B$2:$B$101,MATCH($E788,销售员主数据!$A$2:$A$101,0)),"")</f>
        <v/>
      </c>
      <c r="G788" s="39">
        <f>IFERROR(INDEX(销售员主数据!$C$2:$C$101,MATCH($E788,销售员主数据!$A$2:$A$101,0)),"")</f>
        <v/>
      </c>
      <c r="H788" s="39">
        <f>IFERROR(INDEX(销售员主数据!$D$2:$D$101,MATCH($E788,销售员主数据!$A$2:$A$101,0)),"")</f>
        <v/>
      </c>
      <c r="I788" s="50" t="n"/>
      <c r="J788" s="50" t="n"/>
      <c r="K788" s="54" t="n"/>
      <c r="L788" s="55" t="n"/>
      <c r="M788" s="56" t="n"/>
      <c r="N788" s="57">
        <f>IF(COUNTBLANK(A788:L788)=12,"",1)</f>
        <v/>
      </c>
      <c r="O788" s="40" t="n"/>
    </row>
    <row r="789" ht="15" customHeight="1" s="34">
      <c r="A789" s="48" t="n"/>
      <c r="B789" s="41">
        <f>IF(A789="","",TEXT(A789,"mmm"))</f>
        <v/>
      </c>
      <c r="C789" s="41" t="n"/>
      <c r="D789" s="42" t="n"/>
      <c r="E789" s="41" t="n"/>
      <c r="F789" s="41">
        <f>IFERROR(INDEX(销售员主数据!$B$2:$B$101,MATCH($E789,销售员主数据!$A$2:$A$101,0)),"")</f>
        <v/>
      </c>
      <c r="G789" s="41">
        <f>IFERROR(INDEX(销售员主数据!$C$2:$C$101,MATCH($E789,销售员主数据!$A$2:$A$101,0)),"")</f>
        <v/>
      </c>
      <c r="H789" s="41">
        <f>IFERROR(INDEX(销售员主数据!$D$2:$D$101,MATCH($E789,销售员主数据!$A$2:$A$101,0)),"")</f>
        <v/>
      </c>
      <c r="I789" s="43" t="n"/>
      <c r="J789" s="43" t="n"/>
      <c r="K789" s="44" t="n"/>
      <c r="L789" s="58" t="n"/>
      <c r="M789" s="59" t="n"/>
      <c r="N789" s="60">
        <f>IF(COUNTBLANK(A789:L789)=12,"",1)</f>
        <v/>
      </c>
      <c r="O789" s="42" t="n"/>
    </row>
    <row r="790" ht="15" customHeight="1" s="34">
      <c r="A790" s="46" t="n"/>
      <c r="B790" s="39">
        <f>IF(A790="","",TEXT(A790,"mmm"))</f>
        <v/>
      </c>
      <c r="C790" s="39" t="n"/>
      <c r="D790" s="40" t="n"/>
      <c r="E790" s="39" t="n"/>
      <c r="F790" s="39">
        <f>IFERROR(INDEX(销售员主数据!$B$2:$B$101,MATCH($E790,销售员主数据!$A$2:$A$101,0)),"")</f>
        <v/>
      </c>
      <c r="G790" s="39">
        <f>IFERROR(INDEX(销售员主数据!$C$2:$C$101,MATCH($E790,销售员主数据!$A$2:$A$101,0)),"")</f>
        <v/>
      </c>
      <c r="H790" s="39">
        <f>IFERROR(INDEX(销售员主数据!$D$2:$D$101,MATCH($E790,销售员主数据!$A$2:$A$101,0)),"")</f>
        <v/>
      </c>
      <c r="I790" s="50" t="n"/>
      <c r="J790" s="50" t="n"/>
      <c r="K790" s="54" t="n"/>
      <c r="L790" s="55" t="n"/>
      <c r="M790" s="56" t="n"/>
      <c r="N790" s="57">
        <f>IF(COUNTBLANK(A790:L790)=12,"",1)</f>
        <v/>
      </c>
      <c r="O790" s="40" t="n"/>
    </row>
    <row r="791" ht="15" customHeight="1" s="34">
      <c r="A791" s="48" t="n"/>
      <c r="B791" s="41">
        <f>IF(A791="","",TEXT(A791,"mmm"))</f>
        <v/>
      </c>
      <c r="C791" s="41" t="n"/>
      <c r="D791" s="42" t="n"/>
      <c r="E791" s="41" t="n"/>
      <c r="F791" s="41">
        <f>IFERROR(INDEX(销售员主数据!$B$2:$B$101,MATCH($E791,销售员主数据!$A$2:$A$101,0)),"")</f>
        <v/>
      </c>
      <c r="G791" s="41">
        <f>IFERROR(INDEX(销售员主数据!$C$2:$C$101,MATCH($E791,销售员主数据!$A$2:$A$101,0)),"")</f>
        <v/>
      </c>
      <c r="H791" s="41">
        <f>IFERROR(INDEX(销售员主数据!$D$2:$D$101,MATCH($E791,销售员主数据!$A$2:$A$101,0)),"")</f>
        <v/>
      </c>
      <c r="I791" s="43" t="n"/>
      <c r="J791" s="43" t="n"/>
      <c r="K791" s="44" t="n"/>
      <c r="L791" s="58" t="n"/>
      <c r="M791" s="59" t="n"/>
      <c r="N791" s="60">
        <f>IF(COUNTBLANK(A791:L791)=12,"",1)</f>
        <v/>
      </c>
      <c r="O791" s="42" t="n"/>
    </row>
    <row r="792" ht="15" customHeight="1" s="34">
      <c r="A792" s="46" t="n"/>
      <c r="B792" s="39">
        <f>IF(A792="","",TEXT(A792,"mmm"))</f>
        <v/>
      </c>
      <c r="C792" s="39" t="n"/>
      <c r="D792" s="40" t="n"/>
      <c r="E792" s="39" t="n"/>
      <c r="F792" s="39">
        <f>IFERROR(INDEX(销售员主数据!$B$2:$B$101,MATCH($E792,销售员主数据!$A$2:$A$101,0)),"")</f>
        <v/>
      </c>
      <c r="G792" s="39">
        <f>IFERROR(INDEX(销售员主数据!$C$2:$C$101,MATCH($E792,销售员主数据!$A$2:$A$101,0)),"")</f>
        <v/>
      </c>
      <c r="H792" s="39">
        <f>IFERROR(INDEX(销售员主数据!$D$2:$D$101,MATCH($E792,销售员主数据!$A$2:$A$101,0)),"")</f>
        <v/>
      </c>
      <c r="I792" s="50" t="n"/>
      <c r="J792" s="50" t="n"/>
      <c r="K792" s="54" t="n"/>
      <c r="L792" s="55" t="n"/>
      <c r="M792" s="56" t="n"/>
      <c r="N792" s="57">
        <f>IF(COUNTBLANK(A792:L792)=12,"",1)</f>
        <v/>
      </c>
      <c r="O792" s="40" t="n"/>
    </row>
    <row r="793" ht="15" customHeight="1" s="34">
      <c r="A793" s="48" t="n"/>
      <c r="B793" s="41">
        <f>IF(A793="","",TEXT(A793,"mmm"))</f>
        <v/>
      </c>
      <c r="C793" s="41" t="n"/>
      <c r="D793" s="42" t="n"/>
      <c r="E793" s="41" t="n"/>
      <c r="F793" s="41">
        <f>IFERROR(INDEX(销售员主数据!$B$2:$B$101,MATCH($E793,销售员主数据!$A$2:$A$101,0)),"")</f>
        <v/>
      </c>
      <c r="G793" s="41">
        <f>IFERROR(INDEX(销售员主数据!$C$2:$C$101,MATCH($E793,销售员主数据!$A$2:$A$101,0)),"")</f>
        <v/>
      </c>
      <c r="H793" s="41">
        <f>IFERROR(INDEX(销售员主数据!$D$2:$D$101,MATCH($E793,销售员主数据!$A$2:$A$101,0)),"")</f>
        <v/>
      </c>
      <c r="I793" s="43" t="n"/>
      <c r="J793" s="43" t="n"/>
      <c r="K793" s="44" t="n"/>
      <c r="L793" s="58" t="n"/>
      <c r="M793" s="59" t="n"/>
      <c r="N793" s="60">
        <f>IF(COUNTBLANK(A793:L793)=12,"",1)</f>
        <v/>
      </c>
      <c r="O793" s="42" t="n"/>
    </row>
    <row r="794" ht="15" customHeight="1" s="34">
      <c r="A794" s="46" t="n"/>
      <c r="B794" s="39">
        <f>IF(A794="","",TEXT(A794,"mmm"))</f>
        <v/>
      </c>
      <c r="C794" s="39" t="n"/>
      <c r="D794" s="40" t="n"/>
      <c r="E794" s="39" t="n"/>
      <c r="F794" s="39">
        <f>IFERROR(INDEX(销售员主数据!$B$2:$B$101,MATCH($E794,销售员主数据!$A$2:$A$101,0)),"")</f>
        <v/>
      </c>
      <c r="G794" s="39">
        <f>IFERROR(INDEX(销售员主数据!$C$2:$C$101,MATCH($E794,销售员主数据!$A$2:$A$101,0)),"")</f>
        <v/>
      </c>
      <c r="H794" s="39">
        <f>IFERROR(INDEX(销售员主数据!$D$2:$D$101,MATCH($E794,销售员主数据!$A$2:$A$101,0)),"")</f>
        <v/>
      </c>
      <c r="I794" s="50" t="n"/>
      <c r="J794" s="50" t="n"/>
      <c r="K794" s="54" t="n"/>
      <c r="L794" s="55" t="n"/>
      <c r="M794" s="56" t="n"/>
      <c r="N794" s="57">
        <f>IF(COUNTBLANK(A794:L794)=12,"",1)</f>
        <v/>
      </c>
      <c r="O794" s="40" t="n"/>
    </row>
    <row r="795" ht="15" customHeight="1" s="34">
      <c r="A795" s="48" t="n"/>
      <c r="B795" s="41">
        <f>IF(A795="","",TEXT(A795,"mmm"))</f>
        <v/>
      </c>
      <c r="C795" s="41" t="n"/>
      <c r="D795" s="42" t="n"/>
      <c r="E795" s="41" t="n"/>
      <c r="F795" s="41">
        <f>IFERROR(INDEX(销售员主数据!$B$2:$B$101,MATCH($E795,销售员主数据!$A$2:$A$101,0)),"")</f>
        <v/>
      </c>
      <c r="G795" s="41">
        <f>IFERROR(INDEX(销售员主数据!$C$2:$C$101,MATCH($E795,销售员主数据!$A$2:$A$101,0)),"")</f>
        <v/>
      </c>
      <c r="H795" s="41">
        <f>IFERROR(INDEX(销售员主数据!$D$2:$D$101,MATCH($E795,销售员主数据!$A$2:$A$101,0)),"")</f>
        <v/>
      </c>
      <c r="I795" s="43" t="n"/>
      <c r="J795" s="43" t="n"/>
      <c r="K795" s="44" t="n"/>
      <c r="L795" s="58" t="n"/>
      <c r="M795" s="59" t="n"/>
      <c r="N795" s="60">
        <f>IF(COUNTBLANK(A795:L795)=12,"",1)</f>
        <v/>
      </c>
      <c r="O795" s="42" t="n"/>
    </row>
    <row r="796" ht="15" customHeight="1" s="34">
      <c r="A796" s="46" t="n"/>
      <c r="B796" s="39">
        <f>IF(A796="","",TEXT(A796,"mmm"))</f>
        <v/>
      </c>
      <c r="C796" s="39" t="n"/>
      <c r="D796" s="40" t="n"/>
      <c r="E796" s="39" t="n"/>
      <c r="F796" s="39">
        <f>IFERROR(INDEX(销售员主数据!$B$2:$B$101,MATCH($E796,销售员主数据!$A$2:$A$101,0)),"")</f>
        <v/>
      </c>
      <c r="G796" s="39">
        <f>IFERROR(INDEX(销售员主数据!$C$2:$C$101,MATCH($E796,销售员主数据!$A$2:$A$101,0)),"")</f>
        <v/>
      </c>
      <c r="H796" s="39">
        <f>IFERROR(INDEX(销售员主数据!$D$2:$D$101,MATCH($E796,销售员主数据!$A$2:$A$101,0)),"")</f>
        <v/>
      </c>
      <c r="I796" s="50" t="n"/>
      <c r="J796" s="50" t="n"/>
      <c r="K796" s="54" t="n"/>
      <c r="L796" s="55" t="n"/>
      <c r="M796" s="56" t="n"/>
      <c r="N796" s="57">
        <f>IF(COUNTBLANK(A796:L796)=12,"",1)</f>
        <v/>
      </c>
      <c r="O796" s="40" t="n"/>
    </row>
    <row r="797" ht="15" customHeight="1" s="34">
      <c r="A797" s="48" t="n"/>
      <c r="B797" s="41">
        <f>IF(A797="","",TEXT(A797,"mmm"))</f>
        <v/>
      </c>
      <c r="C797" s="41" t="n"/>
      <c r="D797" s="42" t="n"/>
      <c r="E797" s="41" t="n"/>
      <c r="F797" s="41">
        <f>IFERROR(INDEX(销售员主数据!$B$2:$B$101,MATCH($E797,销售员主数据!$A$2:$A$101,0)),"")</f>
        <v/>
      </c>
      <c r="G797" s="41">
        <f>IFERROR(INDEX(销售员主数据!$C$2:$C$101,MATCH($E797,销售员主数据!$A$2:$A$101,0)),"")</f>
        <v/>
      </c>
      <c r="H797" s="41">
        <f>IFERROR(INDEX(销售员主数据!$D$2:$D$101,MATCH($E797,销售员主数据!$A$2:$A$101,0)),"")</f>
        <v/>
      </c>
      <c r="I797" s="43" t="n"/>
      <c r="J797" s="43" t="n"/>
      <c r="K797" s="44" t="n"/>
      <c r="L797" s="58" t="n"/>
      <c r="M797" s="59" t="n"/>
      <c r="N797" s="60">
        <f>IF(COUNTBLANK(A797:L797)=12,"",1)</f>
        <v/>
      </c>
      <c r="O797" s="42" t="n"/>
    </row>
    <row r="798" ht="15" customHeight="1" s="34">
      <c r="A798" s="46" t="n"/>
      <c r="B798" s="39">
        <f>IF(A798="","",TEXT(A798,"mmm"))</f>
        <v/>
      </c>
      <c r="C798" s="39" t="n"/>
      <c r="D798" s="40" t="n"/>
      <c r="E798" s="39" t="n"/>
      <c r="F798" s="39">
        <f>IFERROR(INDEX(销售员主数据!$B$2:$B$101,MATCH($E798,销售员主数据!$A$2:$A$101,0)),"")</f>
        <v/>
      </c>
      <c r="G798" s="39">
        <f>IFERROR(INDEX(销售员主数据!$C$2:$C$101,MATCH($E798,销售员主数据!$A$2:$A$101,0)),"")</f>
        <v/>
      </c>
      <c r="H798" s="39">
        <f>IFERROR(INDEX(销售员主数据!$D$2:$D$101,MATCH($E798,销售员主数据!$A$2:$A$101,0)),"")</f>
        <v/>
      </c>
      <c r="I798" s="50" t="n"/>
      <c r="J798" s="50" t="n"/>
      <c r="K798" s="54" t="n"/>
      <c r="L798" s="55" t="n"/>
      <c r="M798" s="56" t="n"/>
      <c r="N798" s="57">
        <f>IF(COUNTBLANK(A798:L798)=12,"",1)</f>
        <v/>
      </c>
      <c r="O798" s="40" t="n"/>
    </row>
    <row r="799" ht="15" customHeight="1" s="34">
      <c r="A799" s="48" t="n"/>
      <c r="B799" s="41">
        <f>IF(A799="","",TEXT(A799,"mmm"))</f>
        <v/>
      </c>
      <c r="C799" s="41" t="n"/>
      <c r="D799" s="42" t="n"/>
      <c r="E799" s="41" t="n"/>
      <c r="F799" s="41">
        <f>IFERROR(INDEX(销售员主数据!$B$2:$B$101,MATCH($E799,销售员主数据!$A$2:$A$101,0)),"")</f>
        <v/>
      </c>
      <c r="G799" s="41">
        <f>IFERROR(INDEX(销售员主数据!$C$2:$C$101,MATCH($E799,销售员主数据!$A$2:$A$101,0)),"")</f>
        <v/>
      </c>
      <c r="H799" s="41">
        <f>IFERROR(INDEX(销售员主数据!$D$2:$D$101,MATCH($E799,销售员主数据!$A$2:$A$101,0)),"")</f>
        <v/>
      </c>
      <c r="I799" s="43" t="n"/>
      <c r="J799" s="43" t="n"/>
      <c r="K799" s="44" t="n"/>
      <c r="L799" s="58" t="n"/>
      <c r="M799" s="59" t="n"/>
      <c r="N799" s="60">
        <f>IF(COUNTBLANK(A799:L799)=12,"",1)</f>
        <v/>
      </c>
      <c r="O799" s="42" t="n"/>
    </row>
    <row r="800" ht="15" customHeight="1" s="34">
      <c r="A800" s="46" t="n"/>
      <c r="B800" s="39">
        <f>IF(A800="","",TEXT(A800,"mmm"))</f>
        <v/>
      </c>
      <c r="C800" s="39" t="n"/>
      <c r="D800" s="40" t="n"/>
      <c r="E800" s="39" t="n"/>
      <c r="F800" s="39">
        <f>IFERROR(INDEX(销售员主数据!$B$2:$B$101,MATCH($E800,销售员主数据!$A$2:$A$101,0)),"")</f>
        <v/>
      </c>
      <c r="G800" s="39">
        <f>IFERROR(INDEX(销售员主数据!$C$2:$C$101,MATCH($E800,销售员主数据!$A$2:$A$101,0)),"")</f>
        <v/>
      </c>
      <c r="H800" s="39">
        <f>IFERROR(INDEX(销售员主数据!$D$2:$D$101,MATCH($E800,销售员主数据!$A$2:$A$101,0)),"")</f>
        <v/>
      </c>
      <c r="I800" s="50" t="n"/>
      <c r="J800" s="50" t="n"/>
      <c r="K800" s="54" t="n"/>
      <c r="L800" s="55" t="n"/>
      <c r="M800" s="56" t="n"/>
      <c r="N800" s="57">
        <f>IF(COUNTBLANK(A800:L800)=12,"",1)</f>
        <v/>
      </c>
      <c r="O800" s="40" t="n"/>
    </row>
    <row r="801" ht="15" customHeight="1" s="34">
      <c r="A801" s="48" t="n"/>
      <c r="B801" s="41">
        <f>IF(A801="","",TEXT(A801,"mmm"))</f>
        <v/>
      </c>
      <c r="C801" s="41" t="n"/>
      <c r="D801" s="42" t="n"/>
      <c r="E801" s="41" t="n"/>
      <c r="F801" s="41">
        <f>IFERROR(INDEX(销售员主数据!$B$2:$B$101,MATCH($E801,销售员主数据!$A$2:$A$101,0)),"")</f>
        <v/>
      </c>
      <c r="G801" s="41">
        <f>IFERROR(INDEX(销售员主数据!$C$2:$C$101,MATCH($E801,销售员主数据!$A$2:$A$101,0)),"")</f>
        <v/>
      </c>
      <c r="H801" s="41">
        <f>IFERROR(INDEX(销售员主数据!$D$2:$D$101,MATCH($E801,销售员主数据!$A$2:$A$101,0)),"")</f>
        <v/>
      </c>
      <c r="I801" s="43" t="n"/>
      <c r="J801" s="43" t="n"/>
      <c r="K801" s="44" t="n"/>
      <c r="L801" s="58" t="n"/>
      <c r="M801" s="59" t="n"/>
      <c r="N801" s="60">
        <f>IF(COUNTBLANK(A801:L801)=12,"",1)</f>
        <v/>
      </c>
      <c r="O801" s="42" t="n"/>
    </row>
  </sheetData>
  <dataValidations count="4">
    <dataValidation sqref="I2:I801" showDropDown="0" showInputMessage="0" showErrorMessage="0" allowBlank="1" type="list" errorStyle="stop" operator="between">
      <formula1>分类配置!$A$2:$A$200</formula1>
      <formula2>0</formula2>
    </dataValidation>
    <dataValidation sqref="J2:J801" showDropDown="0" showInputMessage="0" showErrorMessage="0" allowBlank="1" type="list" errorStyle="stop" operator="between">
      <formula1>分类配置!$E$2:$E$200</formula1>
      <formula2>0</formula2>
    </dataValidation>
    <dataValidation sqref="K2:K801" showDropDown="0" showInputMessage="0" showErrorMessage="0" allowBlank="1" type="list" errorStyle="stop" operator="between">
      <formula1>分类配置!$J$2:$J$300</formula1>
      <formula2>0</formula2>
    </dataValidation>
    <dataValidation sqref="M2:M801" showDropDown="0" showInputMessage="0" showErrorMessage="0" allowBlank="1" type="list">
      <formula1>"Submitted,Inforce"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H10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22" customWidth="1" style="33" min="1" max="1"/>
    <col width="24" customWidth="1" style="33" min="2" max="2"/>
    <col width="16" customWidth="1" style="33" min="3" max="4"/>
    <col width="24" customWidth="1" style="33" min="5" max="5"/>
    <col width="18" customWidth="1" style="33" min="6" max="6"/>
    <col width="26" customWidth="1" style="33" min="7" max="7"/>
    <col width="18" customWidth="1" style="33" min="8" max="8"/>
  </cols>
  <sheetData>
    <row r="1" ht="15" customHeight="1" s="34">
      <c r="A1" s="35" t="inlineStr">
        <is>
          <t>销售员 KPI 汇总 / Salesperson KPI Summary</t>
        </is>
      </c>
    </row>
    <row r="2" ht="15" customHeight="1" s="34">
      <c r="A2" s="61" t="inlineStr">
        <is>
          <t>总保费 / Total Premium</t>
        </is>
      </c>
      <c r="B2" s="62">
        <f>SUM(E5:E104)</f>
        <v/>
      </c>
      <c r="C2" s="61" t="inlineStr">
        <is>
          <t>总单数 / Total Cases</t>
        </is>
      </c>
      <c r="D2" s="63">
        <f>SUM(F5:F104)</f>
        <v/>
      </c>
      <c r="E2" s="61" t="inlineStr">
        <is>
          <t>平均单值 / Avg Case Value</t>
        </is>
      </c>
      <c r="F2" s="62">
        <f>IFERROR(B2/D2,0)</f>
        <v/>
      </c>
    </row>
    <row r="3"/>
    <row r="4" ht="15" customHeight="1" s="34">
      <c r="A4" s="37" t="inlineStr">
        <is>
          <t>销售员ID / Salesperson ID</t>
        </is>
      </c>
      <c r="B4" s="37" t="inlineStr">
        <is>
          <t>销售员姓名 / Salesperson Name</t>
        </is>
      </c>
      <c r="C4" s="37" t="inlineStr">
        <is>
          <t>团队 / Team</t>
        </is>
      </c>
      <c r="D4" s="37" t="inlineStr">
        <is>
          <t>地区 / Region</t>
        </is>
      </c>
      <c r="E4" s="37" t="inlineStr">
        <is>
          <t>总保费(MYR) / Total Premium (MYR)</t>
        </is>
      </c>
      <c r="F4" s="37" t="inlineStr">
        <is>
          <t>总单数 / Total Cases</t>
        </is>
      </c>
      <c r="G4" s="37" t="inlineStr">
        <is>
          <t>平均单值(MYR) / Avg Case Value (MYR)</t>
        </is>
      </c>
      <c r="H4" s="37" t="inlineStr">
        <is>
          <t>业绩占比 / Sales Share</t>
        </is>
      </c>
    </row>
    <row r="5" ht="15" customHeight="1" s="34">
      <c r="A5" s="39">
        <f>销售员主数据!A2</f>
        <v/>
      </c>
      <c r="B5" s="39">
        <f>销售员主数据!B2</f>
        <v/>
      </c>
      <c r="C5" s="39">
        <f>销售员主数据!C2</f>
        <v/>
      </c>
      <c r="D5" s="39">
        <f>销售员主数据!D2</f>
        <v/>
      </c>
      <c r="E5" s="64">
        <f>IF($A5="","",SUMIFS(销售明细!$L$2:$L$801,销售明细!$E$2:$E$801,$A5))</f>
        <v/>
      </c>
      <c r="F5" s="65">
        <f>IF($A5="","",SUMIFS(销售明细!$N$2:$N$801,销售明细!$E$2:$E$801,$A5))</f>
        <v/>
      </c>
      <c r="G5" s="64">
        <f>IF($A5="","",IFERROR(E5/F5,0))</f>
        <v/>
      </c>
      <c r="H5" s="66">
        <f>IF($A5="","",IFERROR(E5/$B$2,0))</f>
        <v/>
      </c>
    </row>
    <row r="6" ht="15" customHeight="1" s="34">
      <c r="A6" s="41">
        <f>销售员主数据!A3</f>
        <v/>
      </c>
      <c r="B6" s="41">
        <f>销售员主数据!B3</f>
        <v/>
      </c>
      <c r="C6" s="41">
        <f>销售员主数据!C3</f>
        <v/>
      </c>
      <c r="D6" s="41">
        <f>销售员主数据!D3</f>
        <v/>
      </c>
      <c r="E6" s="64">
        <f>IF($A6="","",SUMIFS(销售明细!$L$2:$L$801,销售明细!$E$2:$E$801,$A6))</f>
        <v/>
      </c>
      <c r="F6" s="65">
        <f>IF($A6="","",SUMIFS(销售明细!$N$2:$N$801,销售明细!$E$2:$E$801,$A6))</f>
        <v/>
      </c>
      <c r="G6" s="64">
        <f>IF($A6="","",IFERROR(E6/F6,0))</f>
        <v/>
      </c>
      <c r="H6" s="67">
        <f>IF($A6="","",IFERROR(E6/$B$2,0))</f>
        <v/>
      </c>
    </row>
    <row r="7" ht="15" customHeight="1" s="34">
      <c r="A7" s="39">
        <f>销售员主数据!A4</f>
        <v/>
      </c>
      <c r="B7" s="39">
        <f>销售员主数据!B4</f>
        <v/>
      </c>
      <c r="C7" s="39">
        <f>销售员主数据!C4</f>
        <v/>
      </c>
      <c r="D7" s="39">
        <f>销售员主数据!D4</f>
        <v/>
      </c>
      <c r="E7" s="64">
        <f>IF($A7="","",SUMIFS(销售明细!$L$2:$L$801,销售明细!$E$2:$E$801,$A7))</f>
        <v/>
      </c>
      <c r="F7" s="65">
        <f>IF($A7="","",SUMIFS(销售明细!$N$2:$N$801,销售明细!$E$2:$E$801,$A7))</f>
        <v/>
      </c>
      <c r="G7" s="64">
        <f>IF($A7="","",IFERROR(E7/F7,0))</f>
        <v/>
      </c>
      <c r="H7" s="66">
        <f>IF($A7="","",IFERROR(E7/$B$2,0))</f>
        <v/>
      </c>
    </row>
    <row r="8" ht="15" customHeight="1" s="34">
      <c r="A8" s="41">
        <f>销售员主数据!A5</f>
        <v/>
      </c>
      <c r="B8" s="41">
        <f>销售员主数据!B5</f>
        <v/>
      </c>
      <c r="C8" s="41">
        <f>销售员主数据!C5</f>
        <v/>
      </c>
      <c r="D8" s="41">
        <f>销售员主数据!D5</f>
        <v/>
      </c>
      <c r="E8" s="64">
        <f>IF($A8="","",SUMIFS(销售明细!$L$2:$L$801,销售明细!$E$2:$E$801,$A8))</f>
        <v/>
      </c>
      <c r="F8" s="65">
        <f>IF($A8="","",SUMIFS(销售明细!$N$2:$N$801,销售明细!$E$2:$E$801,$A8))</f>
        <v/>
      </c>
      <c r="G8" s="64">
        <f>IF($A8="","",IFERROR(E8/F8,0))</f>
        <v/>
      </c>
      <c r="H8" s="67">
        <f>IF($A8="","",IFERROR(E8/$B$2,0))</f>
        <v/>
      </c>
    </row>
    <row r="9" ht="15" customHeight="1" s="34">
      <c r="A9" s="39">
        <f>销售员主数据!A6</f>
        <v/>
      </c>
      <c r="B9" s="39">
        <f>销售员主数据!B6</f>
        <v/>
      </c>
      <c r="C9" s="39">
        <f>销售员主数据!C6</f>
        <v/>
      </c>
      <c r="D9" s="39">
        <f>销售员主数据!D6</f>
        <v/>
      </c>
      <c r="E9" s="64">
        <f>IF($A9="","",SUMIFS(销售明细!$L$2:$L$801,销售明细!$E$2:$E$801,$A9))</f>
        <v/>
      </c>
      <c r="F9" s="65">
        <f>IF($A9="","",SUMIFS(销售明细!$N$2:$N$801,销售明细!$E$2:$E$801,$A9))</f>
        <v/>
      </c>
      <c r="G9" s="64">
        <f>IF($A9="","",IFERROR(E9/F9,0))</f>
        <v/>
      </c>
      <c r="H9" s="66">
        <f>IF($A9="","",IFERROR(E9/$B$2,0))</f>
        <v/>
      </c>
    </row>
    <row r="10" ht="15" customHeight="1" s="34">
      <c r="A10" s="41">
        <f>销售员主数据!A7</f>
        <v/>
      </c>
      <c r="B10" s="41">
        <f>销售员主数据!B7</f>
        <v/>
      </c>
      <c r="C10" s="41">
        <f>销售员主数据!C7</f>
        <v/>
      </c>
      <c r="D10" s="41">
        <f>销售员主数据!D7</f>
        <v/>
      </c>
      <c r="E10" s="64">
        <f>IF($A10="","",SUMIFS(销售明细!$L$2:$L$801,销售明细!$E$2:$E$801,$A10))</f>
        <v/>
      </c>
      <c r="F10" s="65">
        <f>IF($A10="","",SUMIFS(销售明细!$N$2:$N$801,销售明细!$E$2:$E$801,$A10))</f>
        <v/>
      </c>
      <c r="G10" s="64">
        <f>IF($A10="","",IFERROR(E10/F10,0))</f>
        <v/>
      </c>
      <c r="H10" s="67">
        <f>IF($A10="","",IFERROR(E10/$B$2,0))</f>
        <v/>
      </c>
    </row>
    <row r="11" ht="15" customHeight="1" s="34">
      <c r="A11" s="39">
        <f>销售员主数据!A8</f>
        <v/>
      </c>
      <c r="B11" s="39">
        <f>销售员主数据!B8</f>
        <v/>
      </c>
      <c r="C11" s="39">
        <f>销售员主数据!C8</f>
        <v/>
      </c>
      <c r="D11" s="39">
        <f>销售员主数据!D8</f>
        <v/>
      </c>
      <c r="E11" s="64">
        <f>IF($A11="","",SUMIFS(销售明细!$L$2:$L$801,销售明细!$E$2:$E$801,$A11))</f>
        <v/>
      </c>
      <c r="F11" s="65">
        <f>IF($A11="","",SUMIFS(销售明细!$N$2:$N$801,销售明细!$E$2:$E$801,$A11))</f>
        <v/>
      </c>
      <c r="G11" s="64">
        <f>IF($A11="","",IFERROR(E11/F11,0))</f>
        <v/>
      </c>
      <c r="H11" s="66">
        <f>IF($A11="","",IFERROR(E11/$B$2,0))</f>
        <v/>
      </c>
    </row>
    <row r="12" ht="15" customHeight="1" s="34">
      <c r="A12" s="41">
        <f>销售员主数据!A9</f>
        <v/>
      </c>
      <c r="B12" s="41">
        <f>销售员主数据!B9</f>
        <v/>
      </c>
      <c r="C12" s="41">
        <f>销售员主数据!C9</f>
        <v/>
      </c>
      <c r="D12" s="41">
        <f>销售员主数据!D9</f>
        <v/>
      </c>
      <c r="E12" s="64">
        <f>IF($A12="","",SUMIFS(销售明细!$L$2:$L$801,销售明细!$E$2:$E$801,$A12))</f>
        <v/>
      </c>
      <c r="F12" s="65">
        <f>IF($A12="","",SUMIFS(销售明细!$N$2:$N$801,销售明细!$E$2:$E$801,$A12))</f>
        <v/>
      </c>
      <c r="G12" s="64">
        <f>IF($A12="","",IFERROR(E12/F12,0))</f>
        <v/>
      </c>
      <c r="H12" s="67">
        <f>IF($A12="","",IFERROR(E12/$B$2,0))</f>
        <v/>
      </c>
    </row>
    <row r="13" ht="15" customHeight="1" s="34">
      <c r="A13" s="39">
        <f>销售员主数据!A10</f>
        <v/>
      </c>
      <c r="B13" s="39">
        <f>销售员主数据!B10</f>
        <v/>
      </c>
      <c r="C13" s="39">
        <f>销售员主数据!C10</f>
        <v/>
      </c>
      <c r="D13" s="39">
        <f>销售员主数据!D10</f>
        <v/>
      </c>
      <c r="E13" s="64">
        <f>IF($A13="","",SUMIFS(销售明细!$L$2:$L$801,销售明细!$E$2:$E$801,$A13))</f>
        <v/>
      </c>
      <c r="F13" s="65">
        <f>IF($A13="","",SUMIFS(销售明细!$N$2:$N$801,销售明细!$E$2:$E$801,$A13))</f>
        <v/>
      </c>
      <c r="G13" s="64">
        <f>IF($A13="","",IFERROR(E13/F13,0))</f>
        <v/>
      </c>
      <c r="H13" s="66">
        <f>IF($A13="","",IFERROR(E13/$B$2,0))</f>
        <v/>
      </c>
    </row>
    <row r="14" ht="15" customHeight="1" s="34">
      <c r="A14" s="41">
        <f>销售员主数据!A11</f>
        <v/>
      </c>
      <c r="B14" s="41">
        <f>销售员主数据!B11</f>
        <v/>
      </c>
      <c r="C14" s="41">
        <f>销售员主数据!C11</f>
        <v/>
      </c>
      <c r="D14" s="41">
        <f>销售员主数据!D11</f>
        <v/>
      </c>
      <c r="E14" s="64">
        <f>IF($A14="","",SUMIFS(销售明细!$L$2:$L$801,销售明细!$E$2:$E$801,$A14))</f>
        <v/>
      </c>
      <c r="F14" s="65">
        <f>IF($A14="","",SUMIFS(销售明细!$N$2:$N$801,销售明细!$E$2:$E$801,$A14))</f>
        <v/>
      </c>
      <c r="G14" s="64">
        <f>IF($A14="","",IFERROR(E14/F14,0))</f>
        <v/>
      </c>
      <c r="H14" s="67">
        <f>IF($A14="","",IFERROR(E14/$B$2,0))</f>
        <v/>
      </c>
    </row>
    <row r="15" ht="15" customHeight="1" s="34">
      <c r="A15" s="39">
        <f>销售员主数据!A12</f>
        <v/>
      </c>
      <c r="B15" s="39">
        <f>销售员主数据!B12</f>
        <v/>
      </c>
      <c r="C15" s="39">
        <f>销售员主数据!C12</f>
        <v/>
      </c>
      <c r="D15" s="39">
        <f>销售员主数据!D12</f>
        <v/>
      </c>
      <c r="E15" s="64">
        <f>IF($A15="","",SUMIFS(销售明细!$L$2:$L$801,销售明细!$E$2:$E$801,$A15))</f>
        <v/>
      </c>
      <c r="F15" s="65">
        <f>IF($A15="","",SUMIFS(销售明细!$N$2:$N$801,销售明细!$E$2:$E$801,$A15))</f>
        <v/>
      </c>
      <c r="G15" s="64">
        <f>IF($A15="","",IFERROR(E15/F15,0))</f>
        <v/>
      </c>
      <c r="H15" s="66">
        <f>IF($A15="","",IFERROR(E15/$B$2,0))</f>
        <v/>
      </c>
    </row>
    <row r="16" ht="15" customHeight="1" s="34">
      <c r="A16" s="41">
        <f>销售员主数据!A13</f>
        <v/>
      </c>
      <c r="B16" s="41">
        <f>销售员主数据!B13</f>
        <v/>
      </c>
      <c r="C16" s="41">
        <f>销售员主数据!C13</f>
        <v/>
      </c>
      <c r="D16" s="41">
        <f>销售员主数据!D13</f>
        <v/>
      </c>
      <c r="E16" s="64">
        <f>IF($A16="","",SUMIFS(销售明细!$L$2:$L$801,销售明细!$E$2:$E$801,$A16))</f>
        <v/>
      </c>
      <c r="F16" s="65">
        <f>IF($A16="","",SUMIFS(销售明细!$N$2:$N$801,销售明细!$E$2:$E$801,$A16))</f>
        <v/>
      </c>
      <c r="G16" s="64">
        <f>IF($A16="","",IFERROR(E16/F16,0))</f>
        <v/>
      </c>
      <c r="H16" s="67">
        <f>IF($A16="","",IFERROR(E16/$B$2,0))</f>
        <v/>
      </c>
    </row>
    <row r="17" ht="15" customHeight="1" s="34">
      <c r="A17" s="39">
        <f>销售员主数据!A14</f>
        <v/>
      </c>
      <c r="B17" s="39">
        <f>销售员主数据!B14</f>
        <v/>
      </c>
      <c r="C17" s="39">
        <f>销售员主数据!C14</f>
        <v/>
      </c>
      <c r="D17" s="39">
        <f>销售员主数据!D14</f>
        <v/>
      </c>
      <c r="E17" s="64">
        <f>IF($A17="","",SUMIFS(销售明细!$L$2:$L$801,销售明细!$E$2:$E$801,$A17))</f>
        <v/>
      </c>
      <c r="F17" s="65">
        <f>IF($A17="","",SUMIFS(销售明细!$N$2:$N$801,销售明细!$E$2:$E$801,$A17))</f>
        <v/>
      </c>
      <c r="G17" s="64">
        <f>IF($A17="","",IFERROR(E17/F17,0))</f>
        <v/>
      </c>
      <c r="H17" s="66">
        <f>IF($A17="","",IFERROR(E17/$B$2,0))</f>
        <v/>
      </c>
    </row>
    <row r="18" ht="15" customHeight="1" s="34">
      <c r="A18" s="41">
        <f>销售员主数据!A15</f>
        <v/>
      </c>
      <c r="B18" s="41">
        <f>销售员主数据!B15</f>
        <v/>
      </c>
      <c r="C18" s="41">
        <f>销售员主数据!C15</f>
        <v/>
      </c>
      <c r="D18" s="41">
        <f>销售员主数据!D15</f>
        <v/>
      </c>
      <c r="E18" s="64">
        <f>IF($A18="","",SUMIFS(销售明细!$L$2:$L$801,销售明细!$E$2:$E$801,$A18))</f>
        <v/>
      </c>
      <c r="F18" s="65">
        <f>IF($A18="","",SUMIFS(销售明细!$N$2:$N$801,销售明细!$E$2:$E$801,$A18))</f>
        <v/>
      </c>
      <c r="G18" s="64">
        <f>IF($A18="","",IFERROR(E18/F18,0))</f>
        <v/>
      </c>
      <c r="H18" s="67">
        <f>IF($A18="","",IFERROR(E18/$B$2,0))</f>
        <v/>
      </c>
    </row>
    <row r="19" ht="15" customHeight="1" s="34">
      <c r="A19" s="39">
        <f>销售员主数据!A16</f>
        <v/>
      </c>
      <c r="B19" s="39">
        <f>销售员主数据!B16</f>
        <v/>
      </c>
      <c r="C19" s="39">
        <f>销售员主数据!C16</f>
        <v/>
      </c>
      <c r="D19" s="39">
        <f>销售员主数据!D16</f>
        <v/>
      </c>
      <c r="E19" s="64">
        <f>IF($A19="","",SUMIFS(销售明细!$L$2:$L$801,销售明细!$E$2:$E$801,$A19))</f>
        <v/>
      </c>
      <c r="F19" s="65">
        <f>IF($A19="","",SUMIFS(销售明细!$N$2:$N$801,销售明细!$E$2:$E$801,$A19))</f>
        <v/>
      </c>
      <c r="G19" s="64">
        <f>IF($A19="","",IFERROR(E19/F19,0))</f>
        <v/>
      </c>
      <c r="H19" s="66">
        <f>IF($A19="","",IFERROR(E19/$B$2,0))</f>
        <v/>
      </c>
    </row>
    <row r="20" ht="15" customHeight="1" s="34">
      <c r="A20" s="41">
        <f>销售员主数据!A17</f>
        <v/>
      </c>
      <c r="B20" s="41">
        <f>销售员主数据!B17</f>
        <v/>
      </c>
      <c r="C20" s="41">
        <f>销售员主数据!C17</f>
        <v/>
      </c>
      <c r="D20" s="41">
        <f>销售员主数据!D17</f>
        <v/>
      </c>
      <c r="E20" s="64">
        <f>IF($A20="","",SUMIFS(销售明细!$L$2:$L$801,销售明细!$E$2:$E$801,$A20))</f>
        <v/>
      </c>
      <c r="F20" s="65">
        <f>IF($A20="","",SUMIFS(销售明细!$N$2:$N$801,销售明细!$E$2:$E$801,$A20))</f>
        <v/>
      </c>
      <c r="G20" s="64">
        <f>IF($A20="","",IFERROR(E20/F20,0))</f>
        <v/>
      </c>
      <c r="H20" s="67">
        <f>IF($A20="","",IFERROR(E20/$B$2,0))</f>
        <v/>
      </c>
    </row>
    <row r="21" ht="15" customHeight="1" s="34">
      <c r="A21" s="39">
        <f>销售员主数据!A18</f>
        <v/>
      </c>
      <c r="B21" s="39">
        <f>销售员主数据!B18</f>
        <v/>
      </c>
      <c r="C21" s="39">
        <f>销售员主数据!C18</f>
        <v/>
      </c>
      <c r="D21" s="39">
        <f>销售员主数据!D18</f>
        <v/>
      </c>
      <c r="E21" s="64">
        <f>IF($A21="","",SUMIFS(销售明细!$L$2:$L$801,销售明细!$E$2:$E$801,$A21))</f>
        <v/>
      </c>
      <c r="F21" s="65">
        <f>IF($A21="","",SUMIFS(销售明细!$N$2:$N$801,销售明细!$E$2:$E$801,$A21))</f>
        <v/>
      </c>
      <c r="G21" s="64">
        <f>IF($A21="","",IFERROR(E21/F21,0))</f>
        <v/>
      </c>
      <c r="H21" s="66">
        <f>IF($A21="","",IFERROR(E21/$B$2,0))</f>
        <v/>
      </c>
    </row>
    <row r="22" ht="15" customHeight="1" s="34">
      <c r="A22" s="41">
        <f>销售员主数据!A19</f>
        <v/>
      </c>
      <c r="B22" s="41">
        <f>销售员主数据!B19</f>
        <v/>
      </c>
      <c r="C22" s="41">
        <f>销售员主数据!C19</f>
        <v/>
      </c>
      <c r="D22" s="41">
        <f>销售员主数据!D19</f>
        <v/>
      </c>
      <c r="E22" s="64">
        <f>IF($A22="","",SUMIFS(销售明细!$L$2:$L$801,销售明细!$E$2:$E$801,$A22))</f>
        <v/>
      </c>
      <c r="F22" s="65">
        <f>IF($A22="","",SUMIFS(销售明细!$N$2:$N$801,销售明细!$E$2:$E$801,$A22))</f>
        <v/>
      </c>
      <c r="G22" s="64">
        <f>IF($A22="","",IFERROR(E22/F22,0))</f>
        <v/>
      </c>
      <c r="H22" s="67">
        <f>IF($A22="","",IFERROR(E22/$B$2,0))</f>
        <v/>
      </c>
    </row>
    <row r="23" ht="15" customHeight="1" s="34">
      <c r="A23" s="39">
        <f>销售员主数据!A20</f>
        <v/>
      </c>
      <c r="B23" s="39">
        <f>销售员主数据!B20</f>
        <v/>
      </c>
      <c r="C23" s="39">
        <f>销售员主数据!C20</f>
        <v/>
      </c>
      <c r="D23" s="39">
        <f>销售员主数据!D20</f>
        <v/>
      </c>
      <c r="E23" s="64">
        <f>IF($A23="","",SUMIFS(销售明细!$L$2:$L$801,销售明细!$E$2:$E$801,$A23))</f>
        <v/>
      </c>
      <c r="F23" s="65">
        <f>IF($A23="","",SUMIFS(销售明细!$N$2:$N$801,销售明细!$E$2:$E$801,$A23))</f>
        <v/>
      </c>
      <c r="G23" s="64">
        <f>IF($A23="","",IFERROR(E23/F23,0))</f>
        <v/>
      </c>
      <c r="H23" s="66">
        <f>IF($A23="","",IFERROR(E23/$B$2,0))</f>
        <v/>
      </c>
    </row>
    <row r="24" ht="15" customHeight="1" s="34">
      <c r="A24" s="41">
        <f>销售员主数据!A21</f>
        <v/>
      </c>
      <c r="B24" s="41">
        <f>销售员主数据!B21</f>
        <v/>
      </c>
      <c r="C24" s="41">
        <f>销售员主数据!C21</f>
        <v/>
      </c>
      <c r="D24" s="41">
        <f>销售员主数据!D21</f>
        <v/>
      </c>
      <c r="E24" s="64">
        <f>IF($A24="","",SUMIFS(销售明细!$L$2:$L$801,销售明细!$E$2:$E$801,$A24))</f>
        <v/>
      </c>
      <c r="F24" s="65">
        <f>IF($A24="","",SUMIFS(销售明细!$N$2:$N$801,销售明细!$E$2:$E$801,$A24))</f>
        <v/>
      </c>
      <c r="G24" s="64">
        <f>IF($A24="","",IFERROR(E24/F24,0))</f>
        <v/>
      </c>
      <c r="H24" s="67">
        <f>IF($A24="","",IFERROR(E24/$B$2,0))</f>
        <v/>
      </c>
    </row>
    <row r="25" ht="15" customHeight="1" s="34">
      <c r="A25" s="39">
        <f>销售员主数据!A22</f>
        <v/>
      </c>
      <c r="B25" s="39">
        <f>销售员主数据!B22</f>
        <v/>
      </c>
      <c r="C25" s="39">
        <f>销售员主数据!C22</f>
        <v/>
      </c>
      <c r="D25" s="39">
        <f>销售员主数据!D22</f>
        <v/>
      </c>
      <c r="E25" s="64">
        <f>IF($A25="","",SUMIFS(销售明细!$L$2:$L$801,销售明细!$E$2:$E$801,$A25))</f>
        <v/>
      </c>
      <c r="F25" s="65">
        <f>IF($A25="","",SUMIFS(销售明细!$N$2:$N$801,销售明细!$E$2:$E$801,$A25))</f>
        <v/>
      </c>
      <c r="G25" s="64">
        <f>IF($A25="","",IFERROR(E25/F25,0))</f>
        <v/>
      </c>
      <c r="H25" s="66">
        <f>IF($A25="","",IFERROR(E25/$B$2,0))</f>
        <v/>
      </c>
    </row>
    <row r="26" ht="15" customHeight="1" s="34">
      <c r="A26" s="41">
        <f>销售员主数据!A23</f>
        <v/>
      </c>
      <c r="B26" s="41">
        <f>销售员主数据!B23</f>
        <v/>
      </c>
      <c r="C26" s="41">
        <f>销售员主数据!C23</f>
        <v/>
      </c>
      <c r="D26" s="41">
        <f>销售员主数据!D23</f>
        <v/>
      </c>
      <c r="E26" s="64">
        <f>IF($A26="","",SUMIFS(销售明细!$L$2:$L$801,销售明细!$E$2:$E$801,$A26))</f>
        <v/>
      </c>
      <c r="F26" s="65">
        <f>IF($A26="","",SUMIFS(销售明细!$N$2:$N$801,销售明细!$E$2:$E$801,$A26))</f>
        <v/>
      </c>
      <c r="G26" s="64">
        <f>IF($A26="","",IFERROR(E26/F26,0))</f>
        <v/>
      </c>
      <c r="H26" s="67">
        <f>IF($A26="","",IFERROR(E26/$B$2,0))</f>
        <v/>
      </c>
    </row>
    <row r="27" ht="15" customHeight="1" s="34">
      <c r="A27" s="39">
        <f>销售员主数据!A24</f>
        <v/>
      </c>
      <c r="B27" s="39">
        <f>销售员主数据!B24</f>
        <v/>
      </c>
      <c r="C27" s="39">
        <f>销售员主数据!C24</f>
        <v/>
      </c>
      <c r="D27" s="39">
        <f>销售员主数据!D24</f>
        <v/>
      </c>
      <c r="E27" s="64">
        <f>IF($A27="","",SUMIFS(销售明细!$L$2:$L$801,销售明细!$E$2:$E$801,$A27))</f>
        <v/>
      </c>
      <c r="F27" s="65">
        <f>IF($A27="","",SUMIFS(销售明细!$N$2:$N$801,销售明细!$E$2:$E$801,$A27))</f>
        <v/>
      </c>
      <c r="G27" s="64">
        <f>IF($A27="","",IFERROR(E27/F27,0))</f>
        <v/>
      </c>
      <c r="H27" s="66">
        <f>IF($A27="","",IFERROR(E27/$B$2,0))</f>
        <v/>
      </c>
    </row>
    <row r="28" ht="15" customHeight="1" s="34">
      <c r="A28" s="41">
        <f>销售员主数据!A25</f>
        <v/>
      </c>
      <c r="B28" s="41">
        <f>销售员主数据!B25</f>
        <v/>
      </c>
      <c r="C28" s="41">
        <f>销售员主数据!C25</f>
        <v/>
      </c>
      <c r="D28" s="41">
        <f>销售员主数据!D25</f>
        <v/>
      </c>
      <c r="E28" s="64">
        <f>IF($A28="","",SUMIFS(销售明细!$L$2:$L$801,销售明细!$E$2:$E$801,$A28))</f>
        <v/>
      </c>
      <c r="F28" s="65">
        <f>IF($A28="","",SUMIFS(销售明细!$N$2:$N$801,销售明细!$E$2:$E$801,$A28))</f>
        <v/>
      </c>
      <c r="G28" s="64">
        <f>IF($A28="","",IFERROR(E28/F28,0))</f>
        <v/>
      </c>
      <c r="H28" s="67">
        <f>IF($A28="","",IFERROR(E28/$B$2,0))</f>
        <v/>
      </c>
    </row>
    <row r="29" ht="15" customHeight="1" s="34">
      <c r="A29" s="39">
        <f>销售员主数据!A26</f>
        <v/>
      </c>
      <c r="B29" s="39">
        <f>销售员主数据!B26</f>
        <v/>
      </c>
      <c r="C29" s="39">
        <f>销售员主数据!C26</f>
        <v/>
      </c>
      <c r="D29" s="39">
        <f>销售员主数据!D26</f>
        <v/>
      </c>
      <c r="E29" s="64">
        <f>IF($A29="","",SUMIFS(销售明细!$L$2:$L$801,销售明细!$E$2:$E$801,$A29))</f>
        <v/>
      </c>
      <c r="F29" s="65">
        <f>IF($A29="","",SUMIFS(销售明细!$N$2:$N$801,销售明细!$E$2:$E$801,$A29))</f>
        <v/>
      </c>
      <c r="G29" s="64">
        <f>IF($A29="","",IFERROR(E29/F29,0))</f>
        <v/>
      </c>
      <c r="H29" s="66">
        <f>IF($A29="","",IFERROR(E29/$B$2,0))</f>
        <v/>
      </c>
    </row>
    <row r="30" ht="15" customHeight="1" s="34">
      <c r="A30" s="41">
        <f>销售员主数据!A27</f>
        <v/>
      </c>
      <c r="B30" s="41">
        <f>销售员主数据!B27</f>
        <v/>
      </c>
      <c r="C30" s="41">
        <f>销售员主数据!C27</f>
        <v/>
      </c>
      <c r="D30" s="41">
        <f>销售员主数据!D27</f>
        <v/>
      </c>
      <c r="E30" s="64">
        <f>IF($A30="","",SUMIFS(销售明细!$L$2:$L$801,销售明细!$E$2:$E$801,$A30))</f>
        <v/>
      </c>
      <c r="F30" s="65">
        <f>IF($A30="","",SUMIFS(销售明细!$N$2:$N$801,销售明细!$E$2:$E$801,$A30))</f>
        <v/>
      </c>
      <c r="G30" s="64">
        <f>IF($A30="","",IFERROR(E30/F30,0))</f>
        <v/>
      </c>
      <c r="H30" s="67">
        <f>IF($A30="","",IFERROR(E30/$B$2,0))</f>
        <v/>
      </c>
    </row>
    <row r="31" ht="15" customHeight="1" s="34">
      <c r="A31" s="39">
        <f>销售员主数据!A28</f>
        <v/>
      </c>
      <c r="B31" s="39">
        <f>销售员主数据!B28</f>
        <v/>
      </c>
      <c r="C31" s="39">
        <f>销售员主数据!C28</f>
        <v/>
      </c>
      <c r="D31" s="39">
        <f>销售员主数据!D28</f>
        <v/>
      </c>
      <c r="E31" s="64">
        <f>IF($A31="","",SUMIFS(销售明细!$L$2:$L$801,销售明细!$E$2:$E$801,$A31))</f>
        <v/>
      </c>
      <c r="F31" s="65">
        <f>IF($A31="","",SUMIFS(销售明细!$N$2:$N$801,销售明细!$E$2:$E$801,$A31))</f>
        <v/>
      </c>
      <c r="G31" s="64">
        <f>IF($A31="","",IFERROR(E31/F31,0))</f>
        <v/>
      </c>
      <c r="H31" s="66">
        <f>IF($A31="","",IFERROR(E31/$B$2,0))</f>
        <v/>
      </c>
    </row>
    <row r="32" ht="15" customHeight="1" s="34">
      <c r="A32" s="41">
        <f>销售员主数据!A29</f>
        <v/>
      </c>
      <c r="B32" s="41">
        <f>销售员主数据!B29</f>
        <v/>
      </c>
      <c r="C32" s="41">
        <f>销售员主数据!C29</f>
        <v/>
      </c>
      <c r="D32" s="41">
        <f>销售员主数据!D29</f>
        <v/>
      </c>
      <c r="E32" s="64">
        <f>IF($A32="","",SUMIFS(销售明细!$L$2:$L$801,销售明细!$E$2:$E$801,$A32))</f>
        <v/>
      </c>
      <c r="F32" s="65">
        <f>IF($A32="","",SUMIFS(销售明细!$N$2:$N$801,销售明细!$E$2:$E$801,$A32))</f>
        <v/>
      </c>
      <c r="G32" s="64">
        <f>IF($A32="","",IFERROR(E32/F32,0))</f>
        <v/>
      </c>
      <c r="H32" s="67">
        <f>IF($A32="","",IFERROR(E32/$B$2,0))</f>
        <v/>
      </c>
    </row>
    <row r="33" ht="15" customHeight="1" s="34">
      <c r="A33" s="39">
        <f>销售员主数据!A30</f>
        <v/>
      </c>
      <c r="B33" s="39">
        <f>销售员主数据!B30</f>
        <v/>
      </c>
      <c r="C33" s="39">
        <f>销售员主数据!C30</f>
        <v/>
      </c>
      <c r="D33" s="39">
        <f>销售员主数据!D30</f>
        <v/>
      </c>
      <c r="E33" s="64">
        <f>IF($A33="","",SUMIFS(销售明细!$L$2:$L$801,销售明细!$E$2:$E$801,$A33))</f>
        <v/>
      </c>
      <c r="F33" s="65">
        <f>IF($A33="","",SUMIFS(销售明细!$N$2:$N$801,销售明细!$E$2:$E$801,$A33))</f>
        <v/>
      </c>
      <c r="G33" s="64">
        <f>IF($A33="","",IFERROR(E33/F33,0))</f>
        <v/>
      </c>
      <c r="H33" s="66">
        <f>IF($A33="","",IFERROR(E33/$B$2,0))</f>
        <v/>
      </c>
    </row>
    <row r="34" ht="15" customHeight="1" s="34">
      <c r="A34" s="41">
        <f>销售员主数据!A31</f>
        <v/>
      </c>
      <c r="B34" s="41">
        <f>销售员主数据!B31</f>
        <v/>
      </c>
      <c r="C34" s="41">
        <f>销售员主数据!C31</f>
        <v/>
      </c>
      <c r="D34" s="41">
        <f>销售员主数据!D31</f>
        <v/>
      </c>
      <c r="E34" s="64">
        <f>IF($A34="","",SUMIFS(销售明细!$L$2:$L$801,销售明细!$E$2:$E$801,$A34))</f>
        <v/>
      </c>
      <c r="F34" s="65">
        <f>IF($A34="","",SUMIFS(销售明细!$N$2:$N$801,销售明细!$E$2:$E$801,$A34))</f>
        <v/>
      </c>
      <c r="G34" s="64">
        <f>IF($A34="","",IFERROR(E34/F34,0))</f>
        <v/>
      </c>
      <c r="H34" s="67">
        <f>IF($A34="","",IFERROR(E34/$B$2,0))</f>
        <v/>
      </c>
    </row>
    <row r="35" ht="15" customHeight="1" s="34">
      <c r="A35" s="39">
        <f>销售员主数据!A32</f>
        <v/>
      </c>
      <c r="B35" s="39">
        <f>销售员主数据!B32</f>
        <v/>
      </c>
      <c r="C35" s="39">
        <f>销售员主数据!C32</f>
        <v/>
      </c>
      <c r="D35" s="39">
        <f>销售员主数据!D32</f>
        <v/>
      </c>
      <c r="E35" s="64">
        <f>IF($A35="","",SUMIFS(销售明细!$L$2:$L$801,销售明细!$E$2:$E$801,$A35))</f>
        <v/>
      </c>
      <c r="F35" s="65">
        <f>IF($A35="","",SUMIFS(销售明细!$N$2:$N$801,销售明细!$E$2:$E$801,$A35))</f>
        <v/>
      </c>
      <c r="G35" s="64">
        <f>IF($A35="","",IFERROR(E35/F35,0))</f>
        <v/>
      </c>
      <c r="H35" s="66">
        <f>IF($A35="","",IFERROR(E35/$B$2,0))</f>
        <v/>
      </c>
    </row>
    <row r="36" ht="15" customHeight="1" s="34">
      <c r="A36" s="41">
        <f>销售员主数据!A33</f>
        <v/>
      </c>
      <c r="B36" s="41">
        <f>销售员主数据!B33</f>
        <v/>
      </c>
      <c r="C36" s="41">
        <f>销售员主数据!C33</f>
        <v/>
      </c>
      <c r="D36" s="41">
        <f>销售员主数据!D33</f>
        <v/>
      </c>
      <c r="E36" s="64">
        <f>IF($A36="","",SUMIFS(销售明细!$L$2:$L$801,销售明细!$E$2:$E$801,$A36))</f>
        <v/>
      </c>
      <c r="F36" s="65">
        <f>IF($A36="","",SUMIFS(销售明细!$N$2:$N$801,销售明细!$E$2:$E$801,$A36))</f>
        <v/>
      </c>
      <c r="G36" s="64">
        <f>IF($A36="","",IFERROR(E36/F36,0))</f>
        <v/>
      </c>
      <c r="H36" s="67">
        <f>IF($A36="","",IFERROR(E36/$B$2,0))</f>
        <v/>
      </c>
    </row>
    <row r="37" ht="15" customHeight="1" s="34">
      <c r="A37" s="39">
        <f>销售员主数据!A34</f>
        <v/>
      </c>
      <c r="B37" s="39">
        <f>销售员主数据!B34</f>
        <v/>
      </c>
      <c r="C37" s="39">
        <f>销售员主数据!C34</f>
        <v/>
      </c>
      <c r="D37" s="39">
        <f>销售员主数据!D34</f>
        <v/>
      </c>
      <c r="E37" s="64">
        <f>IF($A37="","",SUMIFS(销售明细!$L$2:$L$801,销售明细!$E$2:$E$801,$A37))</f>
        <v/>
      </c>
      <c r="F37" s="65">
        <f>IF($A37="","",SUMIFS(销售明细!$N$2:$N$801,销售明细!$E$2:$E$801,$A37))</f>
        <v/>
      </c>
      <c r="G37" s="64">
        <f>IF($A37="","",IFERROR(E37/F37,0))</f>
        <v/>
      </c>
      <c r="H37" s="66">
        <f>IF($A37="","",IFERROR(E37/$B$2,0))</f>
        <v/>
      </c>
    </row>
    <row r="38" ht="15" customHeight="1" s="34">
      <c r="A38" s="41">
        <f>销售员主数据!A35</f>
        <v/>
      </c>
      <c r="B38" s="41">
        <f>销售员主数据!B35</f>
        <v/>
      </c>
      <c r="C38" s="41">
        <f>销售员主数据!C35</f>
        <v/>
      </c>
      <c r="D38" s="41">
        <f>销售员主数据!D35</f>
        <v/>
      </c>
      <c r="E38" s="64">
        <f>IF($A38="","",SUMIFS(销售明细!$L$2:$L$801,销售明细!$E$2:$E$801,$A38))</f>
        <v/>
      </c>
      <c r="F38" s="65">
        <f>IF($A38="","",SUMIFS(销售明细!$N$2:$N$801,销售明细!$E$2:$E$801,$A38))</f>
        <v/>
      </c>
      <c r="G38" s="64">
        <f>IF($A38="","",IFERROR(E38/F38,0))</f>
        <v/>
      </c>
      <c r="H38" s="67">
        <f>IF($A38="","",IFERROR(E38/$B$2,0))</f>
        <v/>
      </c>
    </row>
    <row r="39" ht="15" customHeight="1" s="34">
      <c r="A39" s="39">
        <f>销售员主数据!A36</f>
        <v/>
      </c>
      <c r="B39" s="39">
        <f>销售员主数据!B36</f>
        <v/>
      </c>
      <c r="C39" s="39">
        <f>销售员主数据!C36</f>
        <v/>
      </c>
      <c r="D39" s="39">
        <f>销售员主数据!D36</f>
        <v/>
      </c>
      <c r="E39" s="64">
        <f>IF($A39="","",SUMIFS(销售明细!$L$2:$L$801,销售明细!$E$2:$E$801,$A39))</f>
        <v/>
      </c>
      <c r="F39" s="65">
        <f>IF($A39="","",SUMIFS(销售明细!$N$2:$N$801,销售明细!$E$2:$E$801,$A39))</f>
        <v/>
      </c>
      <c r="G39" s="64">
        <f>IF($A39="","",IFERROR(E39/F39,0))</f>
        <v/>
      </c>
      <c r="H39" s="66">
        <f>IF($A39="","",IFERROR(E39/$B$2,0))</f>
        <v/>
      </c>
    </row>
    <row r="40" ht="15" customHeight="1" s="34">
      <c r="A40" s="41">
        <f>销售员主数据!A37</f>
        <v/>
      </c>
      <c r="B40" s="41">
        <f>销售员主数据!B37</f>
        <v/>
      </c>
      <c r="C40" s="41">
        <f>销售员主数据!C37</f>
        <v/>
      </c>
      <c r="D40" s="41">
        <f>销售员主数据!D37</f>
        <v/>
      </c>
      <c r="E40" s="64">
        <f>IF($A40="","",SUMIFS(销售明细!$L$2:$L$801,销售明细!$E$2:$E$801,$A40))</f>
        <v/>
      </c>
      <c r="F40" s="65">
        <f>IF($A40="","",SUMIFS(销售明细!$N$2:$N$801,销售明细!$E$2:$E$801,$A40))</f>
        <v/>
      </c>
      <c r="G40" s="64">
        <f>IF($A40="","",IFERROR(E40/F40,0))</f>
        <v/>
      </c>
      <c r="H40" s="67">
        <f>IF($A40="","",IFERROR(E40/$B$2,0))</f>
        <v/>
      </c>
    </row>
    <row r="41" ht="15" customHeight="1" s="34">
      <c r="A41" s="39">
        <f>销售员主数据!A38</f>
        <v/>
      </c>
      <c r="B41" s="39">
        <f>销售员主数据!B38</f>
        <v/>
      </c>
      <c r="C41" s="39">
        <f>销售员主数据!C38</f>
        <v/>
      </c>
      <c r="D41" s="39">
        <f>销售员主数据!D38</f>
        <v/>
      </c>
      <c r="E41" s="64">
        <f>IF($A41="","",SUMIFS(销售明细!$L$2:$L$801,销售明细!$E$2:$E$801,$A41))</f>
        <v/>
      </c>
      <c r="F41" s="65">
        <f>IF($A41="","",SUMIFS(销售明细!$N$2:$N$801,销售明细!$E$2:$E$801,$A41))</f>
        <v/>
      </c>
      <c r="G41" s="64">
        <f>IF($A41="","",IFERROR(E41/F41,0))</f>
        <v/>
      </c>
      <c r="H41" s="66">
        <f>IF($A41="","",IFERROR(E41/$B$2,0))</f>
        <v/>
      </c>
    </row>
    <row r="42" ht="15" customHeight="1" s="34">
      <c r="A42" s="41">
        <f>销售员主数据!A39</f>
        <v/>
      </c>
      <c r="B42" s="41">
        <f>销售员主数据!B39</f>
        <v/>
      </c>
      <c r="C42" s="41">
        <f>销售员主数据!C39</f>
        <v/>
      </c>
      <c r="D42" s="41">
        <f>销售员主数据!D39</f>
        <v/>
      </c>
      <c r="E42" s="64">
        <f>IF($A42="","",SUMIFS(销售明细!$L$2:$L$801,销售明细!$E$2:$E$801,$A42))</f>
        <v/>
      </c>
      <c r="F42" s="65">
        <f>IF($A42="","",SUMIFS(销售明细!$N$2:$N$801,销售明细!$E$2:$E$801,$A42))</f>
        <v/>
      </c>
      <c r="G42" s="64">
        <f>IF($A42="","",IFERROR(E42/F42,0))</f>
        <v/>
      </c>
      <c r="H42" s="67">
        <f>IF($A42="","",IFERROR(E42/$B$2,0))</f>
        <v/>
      </c>
    </row>
    <row r="43" ht="15" customHeight="1" s="34">
      <c r="A43" s="39">
        <f>销售员主数据!A40</f>
        <v/>
      </c>
      <c r="B43" s="39">
        <f>销售员主数据!B40</f>
        <v/>
      </c>
      <c r="C43" s="39">
        <f>销售员主数据!C40</f>
        <v/>
      </c>
      <c r="D43" s="39">
        <f>销售员主数据!D40</f>
        <v/>
      </c>
      <c r="E43" s="64">
        <f>IF($A43="","",SUMIFS(销售明细!$L$2:$L$801,销售明细!$E$2:$E$801,$A43))</f>
        <v/>
      </c>
      <c r="F43" s="65">
        <f>IF($A43="","",SUMIFS(销售明细!$N$2:$N$801,销售明细!$E$2:$E$801,$A43))</f>
        <v/>
      </c>
      <c r="G43" s="64">
        <f>IF($A43="","",IFERROR(E43/F43,0))</f>
        <v/>
      </c>
      <c r="H43" s="66">
        <f>IF($A43="","",IFERROR(E43/$B$2,0))</f>
        <v/>
      </c>
    </row>
    <row r="44" ht="15" customHeight="1" s="34">
      <c r="A44" s="41">
        <f>销售员主数据!A41</f>
        <v/>
      </c>
      <c r="B44" s="41">
        <f>销售员主数据!B41</f>
        <v/>
      </c>
      <c r="C44" s="41">
        <f>销售员主数据!C41</f>
        <v/>
      </c>
      <c r="D44" s="41">
        <f>销售员主数据!D41</f>
        <v/>
      </c>
      <c r="E44" s="64">
        <f>IF($A44="","",SUMIFS(销售明细!$L$2:$L$801,销售明细!$E$2:$E$801,$A44))</f>
        <v/>
      </c>
      <c r="F44" s="65">
        <f>IF($A44="","",SUMIFS(销售明细!$N$2:$N$801,销售明细!$E$2:$E$801,$A44))</f>
        <v/>
      </c>
      <c r="G44" s="64">
        <f>IF($A44="","",IFERROR(E44/F44,0))</f>
        <v/>
      </c>
      <c r="H44" s="67">
        <f>IF($A44="","",IFERROR(E44/$B$2,0))</f>
        <v/>
      </c>
    </row>
    <row r="45" ht="15" customHeight="1" s="34">
      <c r="A45" s="39">
        <f>销售员主数据!A42</f>
        <v/>
      </c>
      <c r="B45" s="39">
        <f>销售员主数据!B42</f>
        <v/>
      </c>
      <c r="C45" s="39">
        <f>销售员主数据!C42</f>
        <v/>
      </c>
      <c r="D45" s="39">
        <f>销售员主数据!D42</f>
        <v/>
      </c>
      <c r="E45" s="64">
        <f>IF($A45="","",SUMIFS(销售明细!$L$2:$L$801,销售明细!$E$2:$E$801,$A45))</f>
        <v/>
      </c>
      <c r="F45" s="65">
        <f>IF($A45="","",SUMIFS(销售明细!$N$2:$N$801,销售明细!$E$2:$E$801,$A45))</f>
        <v/>
      </c>
      <c r="G45" s="64">
        <f>IF($A45="","",IFERROR(E45/F45,0))</f>
        <v/>
      </c>
      <c r="H45" s="66">
        <f>IF($A45="","",IFERROR(E45/$B$2,0))</f>
        <v/>
      </c>
    </row>
    <row r="46" ht="15" customHeight="1" s="34">
      <c r="A46" s="41">
        <f>销售员主数据!A43</f>
        <v/>
      </c>
      <c r="B46" s="41">
        <f>销售员主数据!B43</f>
        <v/>
      </c>
      <c r="C46" s="41">
        <f>销售员主数据!C43</f>
        <v/>
      </c>
      <c r="D46" s="41">
        <f>销售员主数据!D43</f>
        <v/>
      </c>
      <c r="E46" s="64">
        <f>IF($A46="","",SUMIFS(销售明细!$L$2:$L$801,销售明细!$E$2:$E$801,$A46))</f>
        <v/>
      </c>
      <c r="F46" s="65">
        <f>IF($A46="","",SUMIFS(销售明细!$N$2:$N$801,销售明细!$E$2:$E$801,$A46))</f>
        <v/>
      </c>
      <c r="G46" s="64">
        <f>IF($A46="","",IFERROR(E46/F46,0))</f>
        <v/>
      </c>
      <c r="H46" s="67">
        <f>IF($A46="","",IFERROR(E46/$B$2,0))</f>
        <v/>
      </c>
    </row>
    <row r="47" ht="15" customHeight="1" s="34">
      <c r="A47" s="39">
        <f>销售员主数据!A44</f>
        <v/>
      </c>
      <c r="B47" s="39">
        <f>销售员主数据!B44</f>
        <v/>
      </c>
      <c r="C47" s="39">
        <f>销售员主数据!C44</f>
        <v/>
      </c>
      <c r="D47" s="39">
        <f>销售员主数据!D44</f>
        <v/>
      </c>
      <c r="E47" s="64">
        <f>IF($A47="","",SUMIFS(销售明细!$L$2:$L$801,销售明细!$E$2:$E$801,$A47))</f>
        <v/>
      </c>
      <c r="F47" s="65">
        <f>IF($A47="","",SUMIFS(销售明细!$N$2:$N$801,销售明细!$E$2:$E$801,$A47))</f>
        <v/>
      </c>
      <c r="G47" s="64">
        <f>IF($A47="","",IFERROR(E47/F47,0))</f>
        <v/>
      </c>
      <c r="H47" s="66">
        <f>IF($A47="","",IFERROR(E47/$B$2,0))</f>
        <v/>
      </c>
    </row>
    <row r="48" ht="15" customHeight="1" s="34">
      <c r="A48" s="41">
        <f>销售员主数据!A45</f>
        <v/>
      </c>
      <c r="B48" s="41">
        <f>销售员主数据!B45</f>
        <v/>
      </c>
      <c r="C48" s="41">
        <f>销售员主数据!C45</f>
        <v/>
      </c>
      <c r="D48" s="41">
        <f>销售员主数据!D45</f>
        <v/>
      </c>
      <c r="E48" s="64">
        <f>IF($A48="","",SUMIFS(销售明细!$L$2:$L$801,销售明细!$E$2:$E$801,$A48))</f>
        <v/>
      </c>
      <c r="F48" s="65">
        <f>IF($A48="","",SUMIFS(销售明细!$N$2:$N$801,销售明细!$E$2:$E$801,$A48))</f>
        <v/>
      </c>
      <c r="G48" s="64">
        <f>IF($A48="","",IFERROR(E48/F48,0))</f>
        <v/>
      </c>
      <c r="H48" s="67">
        <f>IF($A48="","",IFERROR(E48/$B$2,0))</f>
        <v/>
      </c>
    </row>
    <row r="49" ht="15" customHeight="1" s="34">
      <c r="A49" s="39">
        <f>销售员主数据!A46</f>
        <v/>
      </c>
      <c r="B49" s="39">
        <f>销售员主数据!B46</f>
        <v/>
      </c>
      <c r="C49" s="39">
        <f>销售员主数据!C46</f>
        <v/>
      </c>
      <c r="D49" s="39">
        <f>销售员主数据!D46</f>
        <v/>
      </c>
      <c r="E49" s="64">
        <f>IF($A49="","",SUMIFS(销售明细!$L$2:$L$801,销售明细!$E$2:$E$801,$A49))</f>
        <v/>
      </c>
      <c r="F49" s="65">
        <f>IF($A49="","",SUMIFS(销售明细!$N$2:$N$801,销售明细!$E$2:$E$801,$A49))</f>
        <v/>
      </c>
      <c r="G49" s="64">
        <f>IF($A49="","",IFERROR(E49/F49,0))</f>
        <v/>
      </c>
      <c r="H49" s="66">
        <f>IF($A49="","",IFERROR(E49/$B$2,0))</f>
        <v/>
      </c>
    </row>
    <row r="50" ht="15" customHeight="1" s="34">
      <c r="A50" s="41">
        <f>销售员主数据!A47</f>
        <v/>
      </c>
      <c r="B50" s="41">
        <f>销售员主数据!B47</f>
        <v/>
      </c>
      <c r="C50" s="41">
        <f>销售员主数据!C47</f>
        <v/>
      </c>
      <c r="D50" s="41">
        <f>销售员主数据!D47</f>
        <v/>
      </c>
      <c r="E50" s="64">
        <f>IF($A50="","",SUMIFS(销售明细!$L$2:$L$801,销售明细!$E$2:$E$801,$A50))</f>
        <v/>
      </c>
      <c r="F50" s="65">
        <f>IF($A50="","",SUMIFS(销售明细!$N$2:$N$801,销售明细!$E$2:$E$801,$A50))</f>
        <v/>
      </c>
      <c r="G50" s="64">
        <f>IF($A50="","",IFERROR(E50/F50,0))</f>
        <v/>
      </c>
      <c r="H50" s="67">
        <f>IF($A50="","",IFERROR(E50/$B$2,0))</f>
        <v/>
      </c>
    </row>
    <row r="51" ht="15" customHeight="1" s="34">
      <c r="A51" s="39">
        <f>销售员主数据!A48</f>
        <v/>
      </c>
      <c r="B51" s="39">
        <f>销售员主数据!B48</f>
        <v/>
      </c>
      <c r="C51" s="39">
        <f>销售员主数据!C48</f>
        <v/>
      </c>
      <c r="D51" s="39">
        <f>销售员主数据!D48</f>
        <v/>
      </c>
      <c r="E51" s="64">
        <f>IF($A51="","",SUMIFS(销售明细!$L$2:$L$801,销售明细!$E$2:$E$801,$A51))</f>
        <v/>
      </c>
      <c r="F51" s="65">
        <f>IF($A51="","",SUMIFS(销售明细!$N$2:$N$801,销售明细!$E$2:$E$801,$A51))</f>
        <v/>
      </c>
      <c r="G51" s="64">
        <f>IF($A51="","",IFERROR(E51/F51,0))</f>
        <v/>
      </c>
      <c r="H51" s="66">
        <f>IF($A51="","",IFERROR(E51/$B$2,0))</f>
        <v/>
      </c>
    </row>
    <row r="52" ht="15" customHeight="1" s="34">
      <c r="A52" s="41">
        <f>销售员主数据!A49</f>
        <v/>
      </c>
      <c r="B52" s="41">
        <f>销售员主数据!B49</f>
        <v/>
      </c>
      <c r="C52" s="41">
        <f>销售员主数据!C49</f>
        <v/>
      </c>
      <c r="D52" s="41">
        <f>销售员主数据!D49</f>
        <v/>
      </c>
      <c r="E52" s="64">
        <f>IF($A52="","",SUMIFS(销售明细!$L$2:$L$801,销售明细!$E$2:$E$801,$A52))</f>
        <v/>
      </c>
      <c r="F52" s="65">
        <f>IF($A52="","",SUMIFS(销售明细!$N$2:$N$801,销售明细!$E$2:$E$801,$A52))</f>
        <v/>
      </c>
      <c r="G52" s="64">
        <f>IF($A52="","",IFERROR(E52/F52,0))</f>
        <v/>
      </c>
      <c r="H52" s="67">
        <f>IF($A52="","",IFERROR(E52/$B$2,0))</f>
        <v/>
      </c>
    </row>
    <row r="53" ht="15" customHeight="1" s="34">
      <c r="A53" s="39">
        <f>销售员主数据!A50</f>
        <v/>
      </c>
      <c r="B53" s="39">
        <f>销售员主数据!B50</f>
        <v/>
      </c>
      <c r="C53" s="39">
        <f>销售员主数据!C50</f>
        <v/>
      </c>
      <c r="D53" s="39">
        <f>销售员主数据!D50</f>
        <v/>
      </c>
      <c r="E53" s="64">
        <f>IF($A53="","",SUMIFS(销售明细!$L$2:$L$801,销售明细!$E$2:$E$801,$A53))</f>
        <v/>
      </c>
      <c r="F53" s="65">
        <f>IF($A53="","",SUMIFS(销售明细!$N$2:$N$801,销售明细!$E$2:$E$801,$A53))</f>
        <v/>
      </c>
      <c r="G53" s="64">
        <f>IF($A53="","",IFERROR(E53/F53,0))</f>
        <v/>
      </c>
      <c r="H53" s="66">
        <f>IF($A53="","",IFERROR(E53/$B$2,0))</f>
        <v/>
      </c>
    </row>
    <row r="54" ht="15" customHeight="1" s="34">
      <c r="A54" s="41">
        <f>销售员主数据!A51</f>
        <v/>
      </c>
      <c r="B54" s="41">
        <f>销售员主数据!B51</f>
        <v/>
      </c>
      <c r="C54" s="41">
        <f>销售员主数据!C51</f>
        <v/>
      </c>
      <c r="D54" s="41">
        <f>销售员主数据!D51</f>
        <v/>
      </c>
      <c r="E54" s="64">
        <f>IF($A54="","",SUMIFS(销售明细!$L$2:$L$801,销售明细!$E$2:$E$801,$A54))</f>
        <v/>
      </c>
      <c r="F54" s="65">
        <f>IF($A54="","",SUMIFS(销售明细!$N$2:$N$801,销售明细!$E$2:$E$801,$A54))</f>
        <v/>
      </c>
      <c r="G54" s="64">
        <f>IF($A54="","",IFERROR(E54/F54,0))</f>
        <v/>
      </c>
      <c r="H54" s="67">
        <f>IF($A54="","",IFERROR(E54/$B$2,0))</f>
        <v/>
      </c>
    </row>
    <row r="55" ht="15" customHeight="1" s="34">
      <c r="A55" s="39">
        <f>销售员主数据!A52</f>
        <v/>
      </c>
      <c r="B55" s="39">
        <f>销售员主数据!B52</f>
        <v/>
      </c>
      <c r="C55" s="39">
        <f>销售员主数据!C52</f>
        <v/>
      </c>
      <c r="D55" s="39">
        <f>销售员主数据!D52</f>
        <v/>
      </c>
      <c r="E55" s="64">
        <f>IF($A55="","",SUMIFS(销售明细!$L$2:$L$801,销售明细!$E$2:$E$801,$A55))</f>
        <v/>
      </c>
      <c r="F55" s="65">
        <f>IF($A55="","",SUMIFS(销售明细!$N$2:$N$801,销售明细!$E$2:$E$801,$A55))</f>
        <v/>
      </c>
      <c r="G55" s="64">
        <f>IF($A55="","",IFERROR(E55/F55,0))</f>
        <v/>
      </c>
      <c r="H55" s="66">
        <f>IF($A55="","",IFERROR(E55/$B$2,0))</f>
        <v/>
      </c>
    </row>
    <row r="56" ht="15" customHeight="1" s="34">
      <c r="A56" s="41">
        <f>销售员主数据!A53</f>
        <v/>
      </c>
      <c r="B56" s="41">
        <f>销售员主数据!B53</f>
        <v/>
      </c>
      <c r="C56" s="41">
        <f>销售员主数据!C53</f>
        <v/>
      </c>
      <c r="D56" s="41">
        <f>销售员主数据!D53</f>
        <v/>
      </c>
      <c r="E56" s="64">
        <f>IF($A56="","",SUMIFS(销售明细!$L$2:$L$801,销售明细!$E$2:$E$801,$A56))</f>
        <v/>
      </c>
      <c r="F56" s="65">
        <f>IF($A56="","",SUMIFS(销售明细!$N$2:$N$801,销售明细!$E$2:$E$801,$A56))</f>
        <v/>
      </c>
      <c r="G56" s="64">
        <f>IF($A56="","",IFERROR(E56/F56,0))</f>
        <v/>
      </c>
      <c r="H56" s="67">
        <f>IF($A56="","",IFERROR(E56/$B$2,0))</f>
        <v/>
      </c>
    </row>
    <row r="57" ht="15" customHeight="1" s="34">
      <c r="A57" s="39">
        <f>销售员主数据!A54</f>
        <v/>
      </c>
      <c r="B57" s="39">
        <f>销售员主数据!B54</f>
        <v/>
      </c>
      <c r="C57" s="39">
        <f>销售员主数据!C54</f>
        <v/>
      </c>
      <c r="D57" s="39">
        <f>销售员主数据!D54</f>
        <v/>
      </c>
      <c r="E57" s="64">
        <f>IF($A57="","",SUMIFS(销售明细!$L$2:$L$801,销售明细!$E$2:$E$801,$A57))</f>
        <v/>
      </c>
      <c r="F57" s="65">
        <f>IF($A57="","",SUMIFS(销售明细!$N$2:$N$801,销售明细!$E$2:$E$801,$A57))</f>
        <v/>
      </c>
      <c r="G57" s="64">
        <f>IF($A57="","",IFERROR(E57/F57,0))</f>
        <v/>
      </c>
      <c r="H57" s="66">
        <f>IF($A57="","",IFERROR(E57/$B$2,0))</f>
        <v/>
      </c>
    </row>
    <row r="58" ht="15" customHeight="1" s="34">
      <c r="A58" s="41">
        <f>销售员主数据!A55</f>
        <v/>
      </c>
      <c r="B58" s="41">
        <f>销售员主数据!B55</f>
        <v/>
      </c>
      <c r="C58" s="41">
        <f>销售员主数据!C55</f>
        <v/>
      </c>
      <c r="D58" s="41">
        <f>销售员主数据!D55</f>
        <v/>
      </c>
      <c r="E58" s="64">
        <f>IF($A58="","",SUMIFS(销售明细!$L$2:$L$801,销售明细!$E$2:$E$801,$A58))</f>
        <v/>
      </c>
      <c r="F58" s="65">
        <f>IF($A58="","",SUMIFS(销售明细!$N$2:$N$801,销售明细!$E$2:$E$801,$A58))</f>
        <v/>
      </c>
      <c r="G58" s="64">
        <f>IF($A58="","",IFERROR(E58/F58,0))</f>
        <v/>
      </c>
      <c r="H58" s="67">
        <f>IF($A58="","",IFERROR(E58/$B$2,0))</f>
        <v/>
      </c>
    </row>
    <row r="59" ht="15" customHeight="1" s="34">
      <c r="A59" s="39">
        <f>销售员主数据!A56</f>
        <v/>
      </c>
      <c r="B59" s="39">
        <f>销售员主数据!B56</f>
        <v/>
      </c>
      <c r="C59" s="39">
        <f>销售员主数据!C56</f>
        <v/>
      </c>
      <c r="D59" s="39">
        <f>销售员主数据!D56</f>
        <v/>
      </c>
      <c r="E59" s="64">
        <f>IF($A59="","",SUMIFS(销售明细!$L$2:$L$801,销售明细!$E$2:$E$801,$A59))</f>
        <v/>
      </c>
      <c r="F59" s="65">
        <f>IF($A59="","",SUMIFS(销售明细!$N$2:$N$801,销售明细!$E$2:$E$801,$A59))</f>
        <v/>
      </c>
      <c r="G59" s="64">
        <f>IF($A59="","",IFERROR(E59/F59,0))</f>
        <v/>
      </c>
      <c r="H59" s="66">
        <f>IF($A59="","",IFERROR(E59/$B$2,0))</f>
        <v/>
      </c>
    </row>
    <row r="60" ht="15" customHeight="1" s="34">
      <c r="A60" s="41">
        <f>销售员主数据!A57</f>
        <v/>
      </c>
      <c r="B60" s="41">
        <f>销售员主数据!B57</f>
        <v/>
      </c>
      <c r="C60" s="41">
        <f>销售员主数据!C57</f>
        <v/>
      </c>
      <c r="D60" s="41">
        <f>销售员主数据!D57</f>
        <v/>
      </c>
      <c r="E60" s="64">
        <f>IF($A60="","",SUMIFS(销售明细!$L$2:$L$801,销售明细!$E$2:$E$801,$A60))</f>
        <v/>
      </c>
      <c r="F60" s="65">
        <f>IF($A60="","",SUMIFS(销售明细!$N$2:$N$801,销售明细!$E$2:$E$801,$A60))</f>
        <v/>
      </c>
      <c r="G60" s="64">
        <f>IF($A60="","",IFERROR(E60/F60,0))</f>
        <v/>
      </c>
      <c r="H60" s="67">
        <f>IF($A60="","",IFERROR(E60/$B$2,0))</f>
        <v/>
      </c>
    </row>
    <row r="61" ht="15" customHeight="1" s="34">
      <c r="A61" s="39">
        <f>销售员主数据!A58</f>
        <v/>
      </c>
      <c r="B61" s="39">
        <f>销售员主数据!B58</f>
        <v/>
      </c>
      <c r="C61" s="39">
        <f>销售员主数据!C58</f>
        <v/>
      </c>
      <c r="D61" s="39">
        <f>销售员主数据!D58</f>
        <v/>
      </c>
      <c r="E61" s="64">
        <f>IF($A61="","",SUMIFS(销售明细!$L$2:$L$801,销售明细!$E$2:$E$801,$A61))</f>
        <v/>
      </c>
      <c r="F61" s="65">
        <f>IF($A61="","",SUMIFS(销售明细!$N$2:$N$801,销售明细!$E$2:$E$801,$A61))</f>
        <v/>
      </c>
      <c r="G61" s="64">
        <f>IF($A61="","",IFERROR(E61/F61,0))</f>
        <v/>
      </c>
      <c r="H61" s="66">
        <f>IF($A61="","",IFERROR(E61/$B$2,0))</f>
        <v/>
      </c>
    </row>
    <row r="62" ht="15" customHeight="1" s="34">
      <c r="A62" s="41">
        <f>销售员主数据!A59</f>
        <v/>
      </c>
      <c r="B62" s="41">
        <f>销售员主数据!B59</f>
        <v/>
      </c>
      <c r="C62" s="41">
        <f>销售员主数据!C59</f>
        <v/>
      </c>
      <c r="D62" s="41">
        <f>销售员主数据!D59</f>
        <v/>
      </c>
      <c r="E62" s="64">
        <f>IF($A62="","",SUMIFS(销售明细!$L$2:$L$801,销售明细!$E$2:$E$801,$A62))</f>
        <v/>
      </c>
      <c r="F62" s="65">
        <f>IF($A62="","",SUMIFS(销售明细!$N$2:$N$801,销售明细!$E$2:$E$801,$A62))</f>
        <v/>
      </c>
      <c r="G62" s="64">
        <f>IF($A62="","",IFERROR(E62/F62,0))</f>
        <v/>
      </c>
      <c r="H62" s="67">
        <f>IF($A62="","",IFERROR(E62/$B$2,0))</f>
        <v/>
      </c>
    </row>
    <row r="63" ht="15" customHeight="1" s="34">
      <c r="A63" s="39">
        <f>销售员主数据!A60</f>
        <v/>
      </c>
      <c r="B63" s="39">
        <f>销售员主数据!B60</f>
        <v/>
      </c>
      <c r="C63" s="39">
        <f>销售员主数据!C60</f>
        <v/>
      </c>
      <c r="D63" s="39">
        <f>销售员主数据!D60</f>
        <v/>
      </c>
      <c r="E63" s="64">
        <f>IF($A63="","",SUMIFS(销售明细!$L$2:$L$801,销售明细!$E$2:$E$801,$A63))</f>
        <v/>
      </c>
      <c r="F63" s="65">
        <f>IF($A63="","",SUMIFS(销售明细!$N$2:$N$801,销售明细!$E$2:$E$801,$A63))</f>
        <v/>
      </c>
      <c r="G63" s="64">
        <f>IF($A63="","",IFERROR(E63/F63,0))</f>
        <v/>
      </c>
      <c r="H63" s="66">
        <f>IF($A63="","",IFERROR(E63/$B$2,0))</f>
        <v/>
      </c>
    </row>
    <row r="64" ht="15" customHeight="1" s="34">
      <c r="A64" s="41">
        <f>销售员主数据!A61</f>
        <v/>
      </c>
      <c r="B64" s="41">
        <f>销售员主数据!B61</f>
        <v/>
      </c>
      <c r="C64" s="41">
        <f>销售员主数据!C61</f>
        <v/>
      </c>
      <c r="D64" s="41">
        <f>销售员主数据!D61</f>
        <v/>
      </c>
      <c r="E64" s="64">
        <f>IF($A64="","",SUMIFS(销售明细!$L$2:$L$801,销售明细!$E$2:$E$801,$A64))</f>
        <v/>
      </c>
      <c r="F64" s="65">
        <f>IF($A64="","",SUMIFS(销售明细!$N$2:$N$801,销售明细!$E$2:$E$801,$A64))</f>
        <v/>
      </c>
      <c r="G64" s="64">
        <f>IF($A64="","",IFERROR(E64/F64,0))</f>
        <v/>
      </c>
      <c r="H64" s="67">
        <f>IF($A64="","",IFERROR(E64/$B$2,0))</f>
        <v/>
      </c>
    </row>
    <row r="65" ht="15" customHeight="1" s="34">
      <c r="A65" s="39">
        <f>销售员主数据!A62</f>
        <v/>
      </c>
      <c r="B65" s="39">
        <f>销售员主数据!B62</f>
        <v/>
      </c>
      <c r="C65" s="39">
        <f>销售员主数据!C62</f>
        <v/>
      </c>
      <c r="D65" s="39">
        <f>销售员主数据!D62</f>
        <v/>
      </c>
      <c r="E65" s="64">
        <f>IF($A65="","",SUMIFS(销售明细!$L$2:$L$801,销售明细!$E$2:$E$801,$A65))</f>
        <v/>
      </c>
      <c r="F65" s="65">
        <f>IF($A65="","",SUMIFS(销售明细!$N$2:$N$801,销售明细!$E$2:$E$801,$A65))</f>
        <v/>
      </c>
      <c r="G65" s="64">
        <f>IF($A65="","",IFERROR(E65/F65,0))</f>
        <v/>
      </c>
      <c r="H65" s="66">
        <f>IF($A65="","",IFERROR(E65/$B$2,0))</f>
        <v/>
      </c>
    </row>
    <row r="66" ht="15" customHeight="1" s="34">
      <c r="A66" s="41">
        <f>销售员主数据!A63</f>
        <v/>
      </c>
      <c r="B66" s="41">
        <f>销售员主数据!B63</f>
        <v/>
      </c>
      <c r="C66" s="41">
        <f>销售员主数据!C63</f>
        <v/>
      </c>
      <c r="D66" s="41">
        <f>销售员主数据!D63</f>
        <v/>
      </c>
      <c r="E66" s="64">
        <f>IF($A66="","",SUMIFS(销售明细!$L$2:$L$801,销售明细!$E$2:$E$801,$A66))</f>
        <v/>
      </c>
      <c r="F66" s="65">
        <f>IF($A66="","",SUMIFS(销售明细!$N$2:$N$801,销售明细!$E$2:$E$801,$A66))</f>
        <v/>
      </c>
      <c r="G66" s="64">
        <f>IF($A66="","",IFERROR(E66/F66,0))</f>
        <v/>
      </c>
      <c r="H66" s="67">
        <f>IF($A66="","",IFERROR(E66/$B$2,0))</f>
        <v/>
      </c>
    </row>
    <row r="67" ht="15" customHeight="1" s="34">
      <c r="A67" s="39">
        <f>销售员主数据!A64</f>
        <v/>
      </c>
      <c r="B67" s="39">
        <f>销售员主数据!B64</f>
        <v/>
      </c>
      <c r="C67" s="39">
        <f>销售员主数据!C64</f>
        <v/>
      </c>
      <c r="D67" s="39">
        <f>销售员主数据!D64</f>
        <v/>
      </c>
      <c r="E67" s="64">
        <f>IF($A67="","",SUMIFS(销售明细!$L$2:$L$801,销售明细!$E$2:$E$801,$A67))</f>
        <v/>
      </c>
      <c r="F67" s="65">
        <f>IF($A67="","",SUMIFS(销售明细!$N$2:$N$801,销售明细!$E$2:$E$801,$A67))</f>
        <v/>
      </c>
      <c r="G67" s="64">
        <f>IF($A67="","",IFERROR(E67/F67,0))</f>
        <v/>
      </c>
      <c r="H67" s="66">
        <f>IF($A67="","",IFERROR(E67/$B$2,0))</f>
        <v/>
      </c>
    </row>
    <row r="68" ht="15" customHeight="1" s="34">
      <c r="A68" s="41">
        <f>销售员主数据!A65</f>
        <v/>
      </c>
      <c r="B68" s="41">
        <f>销售员主数据!B65</f>
        <v/>
      </c>
      <c r="C68" s="41">
        <f>销售员主数据!C65</f>
        <v/>
      </c>
      <c r="D68" s="41">
        <f>销售员主数据!D65</f>
        <v/>
      </c>
      <c r="E68" s="64">
        <f>IF($A68="","",SUMIFS(销售明细!$L$2:$L$801,销售明细!$E$2:$E$801,$A68))</f>
        <v/>
      </c>
      <c r="F68" s="65">
        <f>IF($A68="","",SUMIFS(销售明细!$N$2:$N$801,销售明细!$E$2:$E$801,$A68))</f>
        <v/>
      </c>
      <c r="G68" s="64">
        <f>IF($A68="","",IFERROR(E68/F68,0))</f>
        <v/>
      </c>
      <c r="H68" s="67">
        <f>IF($A68="","",IFERROR(E68/$B$2,0))</f>
        <v/>
      </c>
    </row>
    <row r="69" ht="15" customHeight="1" s="34">
      <c r="A69" s="39">
        <f>销售员主数据!A66</f>
        <v/>
      </c>
      <c r="B69" s="39">
        <f>销售员主数据!B66</f>
        <v/>
      </c>
      <c r="C69" s="39">
        <f>销售员主数据!C66</f>
        <v/>
      </c>
      <c r="D69" s="39">
        <f>销售员主数据!D66</f>
        <v/>
      </c>
      <c r="E69" s="64">
        <f>IF($A69="","",SUMIFS(销售明细!$L$2:$L$801,销售明细!$E$2:$E$801,$A69))</f>
        <v/>
      </c>
      <c r="F69" s="65">
        <f>IF($A69="","",SUMIFS(销售明细!$N$2:$N$801,销售明细!$E$2:$E$801,$A69))</f>
        <v/>
      </c>
      <c r="G69" s="64">
        <f>IF($A69="","",IFERROR(E69/F69,0))</f>
        <v/>
      </c>
      <c r="H69" s="66">
        <f>IF($A69="","",IFERROR(E69/$B$2,0))</f>
        <v/>
      </c>
    </row>
    <row r="70" ht="15" customHeight="1" s="34">
      <c r="A70" s="41">
        <f>销售员主数据!A67</f>
        <v/>
      </c>
      <c r="B70" s="41">
        <f>销售员主数据!B67</f>
        <v/>
      </c>
      <c r="C70" s="41">
        <f>销售员主数据!C67</f>
        <v/>
      </c>
      <c r="D70" s="41">
        <f>销售员主数据!D67</f>
        <v/>
      </c>
      <c r="E70" s="64">
        <f>IF($A70="","",SUMIFS(销售明细!$L$2:$L$801,销售明细!$E$2:$E$801,$A70))</f>
        <v/>
      </c>
      <c r="F70" s="65">
        <f>IF($A70="","",SUMIFS(销售明细!$N$2:$N$801,销售明细!$E$2:$E$801,$A70))</f>
        <v/>
      </c>
      <c r="G70" s="64">
        <f>IF($A70="","",IFERROR(E70/F70,0))</f>
        <v/>
      </c>
      <c r="H70" s="67">
        <f>IF($A70="","",IFERROR(E70/$B$2,0))</f>
        <v/>
      </c>
    </row>
    <row r="71" ht="15" customHeight="1" s="34">
      <c r="A71" s="39">
        <f>销售员主数据!A68</f>
        <v/>
      </c>
      <c r="B71" s="39">
        <f>销售员主数据!B68</f>
        <v/>
      </c>
      <c r="C71" s="39">
        <f>销售员主数据!C68</f>
        <v/>
      </c>
      <c r="D71" s="39">
        <f>销售员主数据!D68</f>
        <v/>
      </c>
      <c r="E71" s="64">
        <f>IF($A71="","",SUMIFS(销售明细!$L$2:$L$801,销售明细!$E$2:$E$801,$A71))</f>
        <v/>
      </c>
      <c r="F71" s="65">
        <f>IF($A71="","",SUMIFS(销售明细!$N$2:$N$801,销售明细!$E$2:$E$801,$A71))</f>
        <v/>
      </c>
      <c r="G71" s="64">
        <f>IF($A71="","",IFERROR(E71/F71,0))</f>
        <v/>
      </c>
      <c r="H71" s="66">
        <f>IF($A71="","",IFERROR(E71/$B$2,0))</f>
        <v/>
      </c>
    </row>
    <row r="72" ht="15" customHeight="1" s="34">
      <c r="A72" s="41">
        <f>销售员主数据!A69</f>
        <v/>
      </c>
      <c r="B72" s="41">
        <f>销售员主数据!B69</f>
        <v/>
      </c>
      <c r="C72" s="41">
        <f>销售员主数据!C69</f>
        <v/>
      </c>
      <c r="D72" s="41">
        <f>销售员主数据!D69</f>
        <v/>
      </c>
      <c r="E72" s="64">
        <f>IF($A72="","",SUMIFS(销售明细!$L$2:$L$801,销售明细!$E$2:$E$801,$A72))</f>
        <v/>
      </c>
      <c r="F72" s="65">
        <f>IF($A72="","",SUMIFS(销售明细!$N$2:$N$801,销售明细!$E$2:$E$801,$A72))</f>
        <v/>
      </c>
      <c r="G72" s="64">
        <f>IF($A72="","",IFERROR(E72/F72,0))</f>
        <v/>
      </c>
      <c r="H72" s="67">
        <f>IF($A72="","",IFERROR(E72/$B$2,0))</f>
        <v/>
      </c>
    </row>
    <row r="73" ht="15" customHeight="1" s="34">
      <c r="A73" s="39">
        <f>销售员主数据!A70</f>
        <v/>
      </c>
      <c r="B73" s="39">
        <f>销售员主数据!B70</f>
        <v/>
      </c>
      <c r="C73" s="39">
        <f>销售员主数据!C70</f>
        <v/>
      </c>
      <c r="D73" s="39">
        <f>销售员主数据!D70</f>
        <v/>
      </c>
      <c r="E73" s="64">
        <f>IF($A73="","",SUMIFS(销售明细!$L$2:$L$801,销售明细!$E$2:$E$801,$A73))</f>
        <v/>
      </c>
      <c r="F73" s="65">
        <f>IF($A73="","",SUMIFS(销售明细!$N$2:$N$801,销售明细!$E$2:$E$801,$A73))</f>
        <v/>
      </c>
      <c r="G73" s="64">
        <f>IF($A73="","",IFERROR(E73/F73,0))</f>
        <v/>
      </c>
      <c r="H73" s="66">
        <f>IF($A73="","",IFERROR(E73/$B$2,0))</f>
        <v/>
      </c>
    </row>
    <row r="74" ht="15" customHeight="1" s="34">
      <c r="A74" s="41">
        <f>销售员主数据!A71</f>
        <v/>
      </c>
      <c r="B74" s="41">
        <f>销售员主数据!B71</f>
        <v/>
      </c>
      <c r="C74" s="41">
        <f>销售员主数据!C71</f>
        <v/>
      </c>
      <c r="D74" s="41">
        <f>销售员主数据!D71</f>
        <v/>
      </c>
      <c r="E74" s="64">
        <f>IF($A74="","",SUMIFS(销售明细!$L$2:$L$801,销售明细!$E$2:$E$801,$A74))</f>
        <v/>
      </c>
      <c r="F74" s="65">
        <f>IF($A74="","",SUMIFS(销售明细!$N$2:$N$801,销售明细!$E$2:$E$801,$A74))</f>
        <v/>
      </c>
      <c r="G74" s="64">
        <f>IF($A74="","",IFERROR(E74/F74,0))</f>
        <v/>
      </c>
      <c r="H74" s="67">
        <f>IF($A74="","",IFERROR(E74/$B$2,0))</f>
        <v/>
      </c>
    </row>
    <row r="75" ht="15" customHeight="1" s="34">
      <c r="A75" s="39">
        <f>销售员主数据!A72</f>
        <v/>
      </c>
      <c r="B75" s="39">
        <f>销售员主数据!B72</f>
        <v/>
      </c>
      <c r="C75" s="39">
        <f>销售员主数据!C72</f>
        <v/>
      </c>
      <c r="D75" s="39">
        <f>销售员主数据!D72</f>
        <v/>
      </c>
      <c r="E75" s="64">
        <f>IF($A75="","",SUMIFS(销售明细!$L$2:$L$801,销售明细!$E$2:$E$801,$A75))</f>
        <v/>
      </c>
      <c r="F75" s="65">
        <f>IF($A75="","",SUMIFS(销售明细!$N$2:$N$801,销售明细!$E$2:$E$801,$A75))</f>
        <v/>
      </c>
      <c r="G75" s="64">
        <f>IF($A75="","",IFERROR(E75/F75,0))</f>
        <v/>
      </c>
      <c r="H75" s="66">
        <f>IF($A75="","",IFERROR(E75/$B$2,0))</f>
        <v/>
      </c>
    </row>
    <row r="76" ht="15" customHeight="1" s="34">
      <c r="A76" s="41">
        <f>销售员主数据!A73</f>
        <v/>
      </c>
      <c r="B76" s="41">
        <f>销售员主数据!B73</f>
        <v/>
      </c>
      <c r="C76" s="41">
        <f>销售员主数据!C73</f>
        <v/>
      </c>
      <c r="D76" s="41">
        <f>销售员主数据!D73</f>
        <v/>
      </c>
      <c r="E76" s="64">
        <f>IF($A76="","",SUMIFS(销售明细!$L$2:$L$801,销售明细!$E$2:$E$801,$A76))</f>
        <v/>
      </c>
      <c r="F76" s="65">
        <f>IF($A76="","",SUMIFS(销售明细!$N$2:$N$801,销售明细!$E$2:$E$801,$A76))</f>
        <v/>
      </c>
      <c r="G76" s="64">
        <f>IF($A76="","",IFERROR(E76/F76,0))</f>
        <v/>
      </c>
      <c r="H76" s="67">
        <f>IF($A76="","",IFERROR(E76/$B$2,0))</f>
        <v/>
      </c>
    </row>
    <row r="77" ht="15" customHeight="1" s="34">
      <c r="A77" s="39">
        <f>销售员主数据!A74</f>
        <v/>
      </c>
      <c r="B77" s="39">
        <f>销售员主数据!B74</f>
        <v/>
      </c>
      <c r="C77" s="39">
        <f>销售员主数据!C74</f>
        <v/>
      </c>
      <c r="D77" s="39">
        <f>销售员主数据!D74</f>
        <v/>
      </c>
      <c r="E77" s="64">
        <f>IF($A77="","",SUMIFS(销售明细!$L$2:$L$801,销售明细!$E$2:$E$801,$A77))</f>
        <v/>
      </c>
      <c r="F77" s="65">
        <f>IF($A77="","",SUMIFS(销售明细!$N$2:$N$801,销售明细!$E$2:$E$801,$A77))</f>
        <v/>
      </c>
      <c r="G77" s="64">
        <f>IF($A77="","",IFERROR(E77/F77,0))</f>
        <v/>
      </c>
      <c r="H77" s="66">
        <f>IF($A77="","",IFERROR(E77/$B$2,0))</f>
        <v/>
      </c>
    </row>
    <row r="78" ht="15" customHeight="1" s="34">
      <c r="A78" s="41">
        <f>销售员主数据!A75</f>
        <v/>
      </c>
      <c r="B78" s="41">
        <f>销售员主数据!B75</f>
        <v/>
      </c>
      <c r="C78" s="41">
        <f>销售员主数据!C75</f>
        <v/>
      </c>
      <c r="D78" s="41">
        <f>销售员主数据!D75</f>
        <v/>
      </c>
      <c r="E78" s="64">
        <f>IF($A78="","",SUMIFS(销售明细!$L$2:$L$801,销售明细!$E$2:$E$801,$A78))</f>
        <v/>
      </c>
      <c r="F78" s="65">
        <f>IF($A78="","",SUMIFS(销售明细!$N$2:$N$801,销售明细!$E$2:$E$801,$A78))</f>
        <v/>
      </c>
      <c r="G78" s="64">
        <f>IF($A78="","",IFERROR(E78/F78,0))</f>
        <v/>
      </c>
      <c r="H78" s="67">
        <f>IF($A78="","",IFERROR(E78/$B$2,0))</f>
        <v/>
      </c>
    </row>
    <row r="79" ht="15" customHeight="1" s="34">
      <c r="A79" s="39">
        <f>销售员主数据!A76</f>
        <v/>
      </c>
      <c r="B79" s="39">
        <f>销售员主数据!B76</f>
        <v/>
      </c>
      <c r="C79" s="39">
        <f>销售员主数据!C76</f>
        <v/>
      </c>
      <c r="D79" s="39">
        <f>销售员主数据!D76</f>
        <v/>
      </c>
      <c r="E79" s="64">
        <f>IF($A79="","",SUMIFS(销售明细!$L$2:$L$801,销售明细!$E$2:$E$801,$A79))</f>
        <v/>
      </c>
      <c r="F79" s="65">
        <f>IF($A79="","",SUMIFS(销售明细!$N$2:$N$801,销售明细!$E$2:$E$801,$A79))</f>
        <v/>
      </c>
      <c r="G79" s="64">
        <f>IF($A79="","",IFERROR(E79/F79,0))</f>
        <v/>
      </c>
      <c r="H79" s="66">
        <f>IF($A79="","",IFERROR(E79/$B$2,0))</f>
        <v/>
      </c>
    </row>
    <row r="80" ht="15" customHeight="1" s="34">
      <c r="A80" s="41">
        <f>销售员主数据!A77</f>
        <v/>
      </c>
      <c r="B80" s="41">
        <f>销售员主数据!B77</f>
        <v/>
      </c>
      <c r="C80" s="41">
        <f>销售员主数据!C77</f>
        <v/>
      </c>
      <c r="D80" s="41">
        <f>销售员主数据!D77</f>
        <v/>
      </c>
      <c r="E80" s="64">
        <f>IF($A80="","",SUMIFS(销售明细!$L$2:$L$801,销售明细!$E$2:$E$801,$A80))</f>
        <v/>
      </c>
      <c r="F80" s="65">
        <f>IF($A80="","",SUMIFS(销售明细!$N$2:$N$801,销售明细!$E$2:$E$801,$A80))</f>
        <v/>
      </c>
      <c r="G80" s="64">
        <f>IF($A80="","",IFERROR(E80/F80,0))</f>
        <v/>
      </c>
      <c r="H80" s="67">
        <f>IF($A80="","",IFERROR(E80/$B$2,0))</f>
        <v/>
      </c>
    </row>
    <row r="81" ht="15" customHeight="1" s="34">
      <c r="A81" s="39">
        <f>销售员主数据!A78</f>
        <v/>
      </c>
      <c r="B81" s="39">
        <f>销售员主数据!B78</f>
        <v/>
      </c>
      <c r="C81" s="39">
        <f>销售员主数据!C78</f>
        <v/>
      </c>
      <c r="D81" s="39">
        <f>销售员主数据!D78</f>
        <v/>
      </c>
      <c r="E81" s="64">
        <f>IF($A81="","",SUMIFS(销售明细!$L$2:$L$801,销售明细!$E$2:$E$801,$A81))</f>
        <v/>
      </c>
      <c r="F81" s="65">
        <f>IF($A81="","",SUMIFS(销售明细!$N$2:$N$801,销售明细!$E$2:$E$801,$A81))</f>
        <v/>
      </c>
      <c r="G81" s="64">
        <f>IF($A81="","",IFERROR(E81/F81,0))</f>
        <v/>
      </c>
      <c r="H81" s="66">
        <f>IF($A81="","",IFERROR(E81/$B$2,0))</f>
        <v/>
      </c>
    </row>
    <row r="82" ht="15" customHeight="1" s="34">
      <c r="A82" s="41">
        <f>销售员主数据!A79</f>
        <v/>
      </c>
      <c r="B82" s="41">
        <f>销售员主数据!B79</f>
        <v/>
      </c>
      <c r="C82" s="41">
        <f>销售员主数据!C79</f>
        <v/>
      </c>
      <c r="D82" s="41">
        <f>销售员主数据!D79</f>
        <v/>
      </c>
      <c r="E82" s="64">
        <f>IF($A82="","",SUMIFS(销售明细!$L$2:$L$801,销售明细!$E$2:$E$801,$A82))</f>
        <v/>
      </c>
      <c r="F82" s="65">
        <f>IF($A82="","",SUMIFS(销售明细!$N$2:$N$801,销售明细!$E$2:$E$801,$A82))</f>
        <v/>
      </c>
      <c r="G82" s="64">
        <f>IF($A82="","",IFERROR(E82/F82,0))</f>
        <v/>
      </c>
      <c r="H82" s="67">
        <f>IF($A82="","",IFERROR(E82/$B$2,0))</f>
        <v/>
      </c>
    </row>
    <row r="83" ht="15" customHeight="1" s="34">
      <c r="A83" s="39">
        <f>销售员主数据!A80</f>
        <v/>
      </c>
      <c r="B83" s="39">
        <f>销售员主数据!B80</f>
        <v/>
      </c>
      <c r="C83" s="39">
        <f>销售员主数据!C80</f>
        <v/>
      </c>
      <c r="D83" s="39">
        <f>销售员主数据!D80</f>
        <v/>
      </c>
      <c r="E83" s="64">
        <f>IF($A83="","",SUMIFS(销售明细!$L$2:$L$801,销售明细!$E$2:$E$801,$A83))</f>
        <v/>
      </c>
      <c r="F83" s="65">
        <f>IF($A83="","",SUMIFS(销售明细!$N$2:$N$801,销售明细!$E$2:$E$801,$A83))</f>
        <v/>
      </c>
      <c r="G83" s="64">
        <f>IF($A83="","",IFERROR(E83/F83,0))</f>
        <v/>
      </c>
      <c r="H83" s="66">
        <f>IF($A83="","",IFERROR(E83/$B$2,0))</f>
        <v/>
      </c>
    </row>
    <row r="84" ht="15" customHeight="1" s="34">
      <c r="A84" s="41">
        <f>销售员主数据!A81</f>
        <v/>
      </c>
      <c r="B84" s="41">
        <f>销售员主数据!B81</f>
        <v/>
      </c>
      <c r="C84" s="41">
        <f>销售员主数据!C81</f>
        <v/>
      </c>
      <c r="D84" s="41">
        <f>销售员主数据!D81</f>
        <v/>
      </c>
      <c r="E84" s="64">
        <f>IF($A84="","",SUMIFS(销售明细!$L$2:$L$801,销售明细!$E$2:$E$801,$A84))</f>
        <v/>
      </c>
      <c r="F84" s="65">
        <f>IF($A84="","",SUMIFS(销售明细!$N$2:$N$801,销售明细!$E$2:$E$801,$A84))</f>
        <v/>
      </c>
      <c r="G84" s="64">
        <f>IF($A84="","",IFERROR(E84/F84,0))</f>
        <v/>
      </c>
      <c r="H84" s="67">
        <f>IF($A84="","",IFERROR(E84/$B$2,0))</f>
        <v/>
      </c>
    </row>
    <row r="85" ht="15" customHeight="1" s="34">
      <c r="A85" s="39">
        <f>销售员主数据!A82</f>
        <v/>
      </c>
      <c r="B85" s="39">
        <f>销售员主数据!B82</f>
        <v/>
      </c>
      <c r="C85" s="39">
        <f>销售员主数据!C82</f>
        <v/>
      </c>
      <c r="D85" s="39">
        <f>销售员主数据!D82</f>
        <v/>
      </c>
      <c r="E85" s="64">
        <f>IF($A85="","",SUMIFS(销售明细!$L$2:$L$801,销售明细!$E$2:$E$801,$A85))</f>
        <v/>
      </c>
      <c r="F85" s="65">
        <f>IF($A85="","",SUMIFS(销售明细!$N$2:$N$801,销售明细!$E$2:$E$801,$A85))</f>
        <v/>
      </c>
      <c r="G85" s="64">
        <f>IF($A85="","",IFERROR(E85/F85,0))</f>
        <v/>
      </c>
      <c r="H85" s="66">
        <f>IF($A85="","",IFERROR(E85/$B$2,0))</f>
        <v/>
      </c>
    </row>
    <row r="86" ht="15" customHeight="1" s="34">
      <c r="A86" s="41">
        <f>销售员主数据!A83</f>
        <v/>
      </c>
      <c r="B86" s="41">
        <f>销售员主数据!B83</f>
        <v/>
      </c>
      <c r="C86" s="41">
        <f>销售员主数据!C83</f>
        <v/>
      </c>
      <c r="D86" s="41">
        <f>销售员主数据!D83</f>
        <v/>
      </c>
      <c r="E86" s="64">
        <f>IF($A86="","",SUMIFS(销售明细!$L$2:$L$801,销售明细!$E$2:$E$801,$A86))</f>
        <v/>
      </c>
      <c r="F86" s="65">
        <f>IF($A86="","",SUMIFS(销售明细!$N$2:$N$801,销售明细!$E$2:$E$801,$A86))</f>
        <v/>
      </c>
      <c r="G86" s="64">
        <f>IF($A86="","",IFERROR(E86/F86,0))</f>
        <v/>
      </c>
      <c r="H86" s="67">
        <f>IF($A86="","",IFERROR(E86/$B$2,0))</f>
        <v/>
      </c>
    </row>
    <row r="87" ht="15" customHeight="1" s="34">
      <c r="A87" s="39">
        <f>销售员主数据!A84</f>
        <v/>
      </c>
      <c r="B87" s="39">
        <f>销售员主数据!B84</f>
        <v/>
      </c>
      <c r="C87" s="39">
        <f>销售员主数据!C84</f>
        <v/>
      </c>
      <c r="D87" s="39">
        <f>销售员主数据!D84</f>
        <v/>
      </c>
      <c r="E87" s="64">
        <f>IF($A87="","",SUMIFS(销售明细!$L$2:$L$801,销售明细!$E$2:$E$801,$A87))</f>
        <v/>
      </c>
      <c r="F87" s="65">
        <f>IF($A87="","",SUMIFS(销售明细!$N$2:$N$801,销售明细!$E$2:$E$801,$A87))</f>
        <v/>
      </c>
      <c r="G87" s="64">
        <f>IF($A87="","",IFERROR(E87/F87,0))</f>
        <v/>
      </c>
      <c r="H87" s="66">
        <f>IF($A87="","",IFERROR(E87/$B$2,0))</f>
        <v/>
      </c>
    </row>
    <row r="88" ht="15" customHeight="1" s="34">
      <c r="A88" s="41">
        <f>销售员主数据!A85</f>
        <v/>
      </c>
      <c r="B88" s="41">
        <f>销售员主数据!B85</f>
        <v/>
      </c>
      <c r="C88" s="41">
        <f>销售员主数据!C85</f>
        <v/>
      </c>
      <c r="D88" s="41">
        <f>销售员主数据!D85</f>
        <v/>
      </c>
      <c r="E88" s="64">
        <f>IF($A88="","",SUMIFS(销售明细!$L$2:$L$801,销售明细!$E$2:$E$801,$A88))</f>
        <v/>
      </c>
      <c r="F88" s="65">
        <f>IF($A88="","",SUMIFS(销售明细!$N$2:$N$801,销售明细!$E$2:$E$801,$A88))</f>
        <v/>
      </c>
      <c r="G88" s="64">
        <f>IF($A88="","",IFERROR(E88/F88,0))</f>
        <v/>
      </c>
      <c r="H88" s="67">
        <f>IF($A88="","",IFERROR(E88/$B$2,0))</f>
        <v/>
      </c>
    </row>
    <row r="89" ht="15" customHeight="1" s="34">
      <c r="A89" s="39">
        <f>销售员主数据!A86</f>
        <v/>
      </c>
      <c r="B89" s="39">
        <f>销售员主数据!B86</f>
        <v/>
      </c>
      <c r="C89" s="39">
        <f>销售员主数据!C86</f>
        <v/>
      </c>
      <c r="D89" s="39">
        <f>销售员主数据!D86</f>
        <v/>
      </c>
      <c r="E89" s="64">
        <f>IF($A89="","",SUMIFS(销售明细!$L$2:$L$801,销售明细!$E$2:$E$801,$A89))</f>
        <v/>
      </c>
      <c r="F89" s="65">
        <f>IF($A89="","",SUMIFS(销售明细!$N$2:$N$801,销售明细!$E$2:$E$801,$A89))</f>
        <v/>
      </c>
      <c r="G89" s="64">
        <f>IF($A89="","",IFERROR(E89/F89,0))</f>
        <v/>
      </c>
      <c r="H89" s="66">
        <f>IF($A89="","",IFERROR(E89/$B$2,0))</f>
        <v/>
      </c>
    </row>
    <row r="90" ht="15" customHeight="1" s="34">
      <c r="A90" s="41">
        <f>销售员主数据!A87</f>
        <v/>
      </c>
      <c r="B90" s="41">
        <f>销售员主数据!B87</f>
        <v/>
      </c>
      <c r="C90" s="41">
        <f>销售员主数据!C87</f>
        <v/>
      </c>
      <c r="D90" s="41">
        <f>销售员主数据!D87</f>
        <v/>
      </c>
      <c r="E90" s="64">
        <f>IF($A90="","",SUMIFS(销售明细!$L$2:$L$801,销售明细!$E$2:$E$801,$A90))</f>
        <v/>
      </c>
      <c r="F90" s="65">
        <f>IF($A90="","",SUMIFS(销售明细!$N$2:$N$801,销售明细!$E$2:$E$801,$A90))</f>
        <v/>
      </c>
      <c r="G90" s="64">
        <f>IF($A90="","",IFERROR(E90/F90,0))</f>
        <v/>
      </c>
      <c r="H90" s="67">
        <f>IF($A90="","",IFERROR(E90/$B$2,0))</f>
        <v/>
      </c>
    </row>
    <row r="91" ht="15" customHeight="1" s="34">
      <c r="A91" s="39">
        <f>销售员主数据!A88</f>
        <v/>
      </c>
      <c r="B91" s="39">
        <f>销售员主数据!B88</f>
        <v/>
      </c>
      <c r="C91" s="39">
        <f>销售员主数据!C88</f>
        <v/>
      </c>
      <c r="D91" s="39">
        <f>销售员主数据!D88</f>
        <v/>
      </c>
      <c r="E91" s="64">
        <f>IF($A91="","",SUMIFS(销售明细!$L$2:$L$801,销售明细!$E$2:$E$801,$A91))</f>
        <v/>
      </c>
      <c r="F91" s="65">
        <f>IF($A91="","",SUMIFS(销售明细!$N$2:$N$801,销售明细!$E$2:$E$801,$A91))</f>
        <v/>
      </c>
      <c r="G91" s="64">
        <f>IF($A91="","",IFERROR(E91/F91,0))</f>
        <v/>
      </c>
      <c r="H91" s="66">
        <f>IF($A91="","",IFERROR(E91/$B$2,0))</f>
        <v/>
      </c>
    </row>
    <row r="92" ht="15" customHeight="1" s="34">
      <c r="A92" s="41">
        <f>销售员主数据!A89</f>
        <v/>
      </c>
      <c r="B92" s="41">
        <f>销售员主数据!B89</f>
        <v/>
      </c>
      <c r="C92" s="41">
        <f>销售员主数据!C89</f>
        <v/>
      </c>
      <c r="D92" s="41">
        <f>销售员主数据!D89</f>
        <v/>
      </c>
      <c r="E92" s="64">
        <f>IF($A92="","",SUMIFS(销售明细!$L$2:$L$801,销售明细!$E$2:$E$801,$A92))</f>
        <v/>
      </c>
      <c r="F92" s="65">
        <f>IF($A92="","",SUMIFS(销售明细!$N$2:$N$801,销售明细!$E$2:$E$801,$A92))</f>
        <v/>
      </c>
      <c r="G92" s="64">
        <f>IF($A92="","",IFERROR(E92/F92,0))</f>
        <v/>
      </c>
      <c r="H92" s="67">
        <f>IF($A92="","",IFERROR(E92/$B$2,0))</f>
        <v/>
      </c>
    </row>
    <row r="93" ht="15" customHeight="1" s="34">
      <c r="A93" s="39">
        <f>销售员主数据!A90</f>
        <v/>
      </c>
      <c r="B93" s="39">
        <f>销售员主数据!B90</f>
        <v/>
      </c>
      <c r="C93" s="39">
        <f>销售员主数据!C90</f>
        <v/>
      </c>
      <c r="D93" s="39">
        <f>销售员主数据!D90</f>
        <v/>
      </c>
      <c r="E93" s="64">
        <f>IF($A93="","",SUMIFS(销售明细!$L$2:$L$801,销售明细!$E$2:$E$801,$A93))</f>
        <v/>
      </c>
      <c r="F93" s="65">
        <f>IF($A93="","",SUMIFS(销售明细!$N$2:$N$801,销售明细!$E$2:$E$801,$A93))</f>
        <v/>
      </c>
      <c r="G93" s="64">
        <f>IF($A93="","",IFERROR(E93/F93,0))</f>
        <v/>
      </c>
      <c r="H93" s="66">
        <f>IF($A93="","",IFERROR(E93/$B$2,0))</f>
        <v/>
      </c>
    </row>
    <row r="94" ht="15" customHeight="1" s="34">
      <c r="A94" s="41">
        <f>销售员主数据!A91</f>
        <v/>
      </c>
      <c r="B94" s="41">
        <f>销售员主数据!B91</f>
        <v/>
      </c>
      <c r="C94" s="41">
        <f>销售员主数据!C91</f>
        <v/>
      </c>
      <c r="D94" s="41">
        <f>销售员主数据!D91</f>
        <v/>
      </c>
      <c r="E94" s="64">
        <f>IF($A94="","",SUMIFS(销售明细!$L$2:$L$801,销售明细!$E$2:$E$801,$A94))</f>
        <v/>
      </c>
      <c r="F94" s="65">
        <f>IF($A94="","",SUMIFS(销售明细!$N$2:$N$801,销售明细!$E$2:$E$801,$A94))</f>
        <v/>
      </c>
      <c r="G94" s="64">
        <f>IF($A94="","",IFERROR(E94/F94,0))</f>
        <v/>
      </c>
      <c r="H94" s="67">
        <f>IF($A94="","",IFERROR(E94/$B$2,0))</f>
        <v/>
      </c>
    </row>
    <row r="95" ht="15" customHeight="1" s="34">
      <c r="A95" s="39">
        <f>销售员主数据!A92</f>
        <v/>
      </c>
      <c r="B95" s="39">
        <f>销售员主数据!B92</f>
        <v/>
      </c>
      <c r="C95" s="39">
        <f>销售员主数据!C92</f>
        <v/>
      </c>
      <c r="D95" s="39">
        <f>销售员主数据!D92</f>
        <v/>
      </c>
      <c r="E95" s="64">
        <f>IF($A95="","",SUMIFS(销售明细!$L$2:$L$801,销售明细!$E$2:$E$801,$A95))</f>
        <v/>
      </c>
      <c r="F95" s="65">
        <f>IF($A95="","",SUMIFS(销售明细!$N$2:$N$801,销售明细!$E$2:$E$801,$A95))</f>
        <v/>
      </c>
      <c r="G95" s="64">
        <f>IF($A95="","",IFERROR(E95/F95,0))</f>
        <v/>
      </c>
      <c r="H95" s="66">
        <f>IF($A95="","",IFERROR(E95/$B$2,0))</f>
        <v/>
      </c>
    </row>
    <row r="96" ht="15" customHeight="1" s="34">
      <c r="A96" s="41">
        <f>销售员主数据!A93</f>
        <v/>
      </c>
      <c r="B96" s="41">
        <f>销售员主数据!B93</f>
        <v/>
      </c>
      <c r="C96" s="41">
        <f>销售员主数据!C93</f>
        <v/>
      </c>
      <c r="D96" s="41">
        <f>销售员主数据!D93</f>
        <v/>
      </c>
      <c r="E96" s="64">
        <f>IF($A96="","",SUMIFS(销售明细!$L$2:$L$801,销售明细!$E$2:$E$801,$A96))</f>
        <v/>
      </c>
      <c r="F96" s="65">
        <f>IF($A96="","",SUMIFS(销售明细!$N$2:$N$801,销售明细!$E$2:$E$801,$A96))</f>
        <v/>
      </c>
      <c r="G96" s="64">
        <f>IF($A96="","",IFERROR(E96/F96,0))</f>
        <v/>
      </c>
      <c r="H96" s="67">
        <f>IF($A96="","",IFERROR(E96/$B$2,0))</f>
        <v/>
      </c>
    </row>
    <row r="97" ht="15" customHeight="1" s="34">
      <c r="A97" s="39">
        <f>销售员主数据!A94</f>
        <v/>
      </c>
      <c r="B97" s="39">
        <f>销售员主数据!B94</f>
        <v/>
      </c>
      <c r="C97" s="39">
        <f>销售员主数据!C94</f>
        <v/>
      </c>
      <c r="D97" s="39">
        <f>销售员主数据!D94</f>
        <v/>
      </c>
      <c r="E97" s="64">
        <f>IF($A97="","",SUMIFS(销售明细!$L$2:$L$801,销售明细!$E$2:$E$801,$A97))</f>
        <v/>
      </c>
      <c r="F97" s="65">
        <f>IF($A97="","",SUMIFS(销售明细!$N$2:$N$801,销售明细!$E$2:$E$801,$A97))</f>
        <v/>
      </c>
      <c r="G97" s="64">
        <f>IF($A97="","",IFERROR(E97/F97,0))</f>
        <v/>
      </c>
      <c r="H97" s="66">
        <f>IF($A97="","",IFERROR(E97/$B$2,0))</f>
        <v/>
      </c>
    </row>
    <row r="98" ht="15" customHeight="1" s="34">
      <c r="A98" s="41">
        <f>销售员主数据!A95</f>
        <v/>
      </c>
      <c r="B98" s="41">
        <f>销售员主数据!B95</f>
        <v/>
      </c>
      <c r="C98" s="41">
        <f>销售员主数据!C95</f>
        <v/>
      </c>
      <c r="D98" s="41">
        <f>销售员主数据!D95</f>
        <v/>
      </c>
      <c r="E98" s="64">
        <f>IF($A98="","",SUMIFS(销售明细!$L$2:$L$801,销售明细!$E$2:$E$801,$A98))</f>
        <v/>
      </c>
      <c r="F98" s="65">
        <f>IF($A98="","",SUMIFS(销售明细!$N$2:$N$801,销售明细!$E$2:$E$801,$A98))</f>
        <v/>
      </c>
      <c r="G98" s="64">
        <f>IF($A98="","",IFERROR(E98/F98,0))</f>
        <v/>
      </c>
      <c r="H98" s="67">
        <f>IF($A98="","",IFERROR(E98/$B$2,0))</f>
        <v/>
      </c>
    </row>
    <row r="99" ht="15" customHeight="1" s="34">
      <c r="A99" s="39">
        <f>销售员主数据!A96</f>
        <v/>
      </c>
      <c r="B99" s="39">
        <f>销售员主数据!B96</f>
        <v/>
      </c>
      <c r="C99" s="39">
        <f>销售员主数据!C96</f>
        <v/>
      </c>
      <c r="D99" s="39">
        <f>销售员主数据!D96</f>
        <v/>
      </c>
      <c r="E99" s="64">
        <f>IF($A99="","",SUMIFS(销售明细!$L$2:$L$801,销售明细!$E$2:$E$801,$A99))</f>
        <v/>
      </c>
      <c r="F99" s="65">
        <f>IF($A99="","",SUMIFS(销售明细!$N$2:$N$801,销售明细!$E$2:$E$801,$A99))</f>
        <v/>
      </c>
      <c r="G99" s="64">
        <f>IF($A99="","",IFERROR(E99/F99,0))</f>
        <v/>
      </c>
      <c r="H99" s="66">
        <f>IF($A99="","",IFERROR(E99/$B$2,0))</f>
        <v/>
      </c>
    </row>
    <row r="100" ht="15" customHeight="1" s="34">
      <c r="A100" s="41">
        <f>销售员主数据!A97</f>
        <v/>
      </c>
      <c r="B100" s="41">
        <f>销售员主数据!B97</f>
        <v/>
      </c>
      <c r="C100" s="41">
        <f>销售员主数据!C97</f>
        <v/>
      </c>
      <c r="D100" s="41">
        <f>销售员主数据!D97</f>
        <v/>
      </c>
      <c r="E100" s="64">
        <f>IF($A100="","",SUMIFS(销售明细!$L$2:$L$801,销售明细!$E$2:$E$801,$A100))</f>
        <v/>
      </c>
      <c r="F100" s="65">
        <f>IF($A100="","",SUMIFS(销售明细!$N$2:$N$801,销售明细!$E$2:$E$801,$A100))</f>
        <v/>
      </c>
      <c r="G100" s="64">
        <f>IF($A100="","",IFERROR(E100/F100,0))</f>
        <v/>
      </c>
      <c r="H100" s="67">
        <f>IF($A100="","",IFERROR(E100/$B$2,0))</f>
        <v/>
      </c>
    </row>
    <row r="101" ht="15" customHeight="1" s="34">
      <c r="A101" s="39">
        <f>销售员主数据!A98</f>
        <v/>
      </c>
      <c r="B101" s="39">
        <f>销售员主数据!B98</f>
        <v/>
      </c>
      <c r="C101" s="39">
        <f>销售员主数据!C98</f>
        <v/>
      </c>
      <c r="D101" s="39">
        <f>销售员主数据!D98</f>
        <v/>
      </c>
      <c r="E101" s="64">
        <f>IF($A101="","",SUMIFS(销售明细!$L$2:$L$801,销售明细!$E$2:$E$801,$A101))</f>
        <v/>
      </c>
      <c r="F101" s="65">
        <f>IF($A101="","",SUMIFS(销售明细!$N$2:$N$801,销售明细!$E$2:$E$801,$A101))</f>
        <v/>
      </c>
      <c r="G101" s="64">
        <f>IF($A101="","",IFERROR(E101/F101,0))</f>
        <v/>
      </c>
      <c r="H101" s="66">
        <f>IF($A101="","",IFERROR(E101/$B$2,0))</f>
        <v/>
      </c>
    </row>
    <row r="102" ht="15" customHeight="1" s="34">
      <c r="A102" s="41">
        <f>销售员主数据!A99</f>
        <v/>
      </c>
      <c r="B102" s="41">
        <f>销售员主数据!B99</f>
        <v/>
      </c>
      <c r="C102" s="41">
        <f>销售员主数据!C99</f>
        <v/>
      </c>
      <c r="D102" s="41">
        <f>销售员主数据!D99</f>
        <v/>
      </c>
      <c r="E102" s="64">
        <f>IF($A102="","",SUMIFS(销售明细!$L$2:$L$801,销售明细!$E$2:$E$801,$A102))</f>
        <v/>
      </c>
      <c r="F102" s="65">
        <f>IF($A102="","",SUMIFS(销售明细!$N$2:$N$801,销售明细!$E$2:$E$801,$A102))</f>
        <v/>
      </c>
      <c r="G102" s="64">
        <f>IF($A102="","",IFERROR(E102/F102,0))</f>
        <v/>
      </c>
      <c r="H102" s="67">
        <f>IF($A102="","",IFERROR(E102/$B$2,0))</f>
        <v/>
      </c>
    </row>
    <row r="103" ht="15" customHeight="1" s="34">
      <c r="A103" s="39">
        <f>销售员主数据!A100</f>
        <v/>
      </c>
      <c r="B103" s="39">
        <f>销售员主数据!B100</f>
        <v/>
      </c>
      <c r="C103" s="39">
        <f>销售员主数据!C100</f>
        <v/>
      </c>
      <c r="D103" s="39">
        <f>销售员主数据!D100</f>
        <v/>
      </c>
      <c r="E103" s="64">
        <f>IF($A103="","",SUMIFS(销售明细!$L$2:$L$801,销售明细!$E$2:$E$801,$A103))</f>
        <v/>
      </c>
      <c r="F103" s="65">
        <f>IF($A103="","",SUMIFS(销售明细!$N$2:$N$801,销售明细!$E$2:$E$801,$A103))</f>
        <v/>
      </c>
      <c r="G103" s="64">
        <f>IF($A103="","",IFERROR(E103/F103,0))</f>
        <v/>
      </c>
      <c r="H103" s="66">
        <f>IF($A103="","",IFERROR(E103/$B$2,0))</f>
        <v/>
      </c>
    </row>
    <row r="104" ht="15" customHeight="1" s="34">
      <c r="A104" s="41">
        <f>销售员主数据!A101</f>
        <v/>
      </c>
      <c r="B104" s="41">
        <f>销售员主数据!B101</f>
        <v/>
      </c>
      <c r="C104" s="41">
        <f>销售员主数据!C101</f>
        <v/>
      </c>
      <c r="D104" s="41">
        <f>销售员主数据!D101</f>
        <v/>
      </c>
      <c r="E104" s="64">
        <f>IF($A104="","",SUMIFS(销售明细!$L$2:$L$801,销售明细!$E$2:$E$801,$A104))</f>
        <v/>
      </c>
      <c r="F104" s="65">
        <f>IF($A104="","",SUMIFS(销售明细!$N$2:$N$801,销售明细!$E$2:$E$801,$A104))</f>
        <v/>
      </c>
      <c r="G104" s="64">
        <f>IF($A104="","",IFERROR(E104/F104,0))</f>
        <v/>
      </c>
      <c r="H104" s="67">
        <f>IF($A104="","",IFERROR(E104/$B$2,0))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M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4296875" defaultRowHeight="15" zeroHeight="0" outlineLevelRow="0"/>
  <cols>
    <col width="28" customWidth="1" style="33" min="1" max="1"/>
    <col width="12" customWidth="1" style="33" min="2" max="13"/>
  </cols>
  <sheetData>
    <row r="1" ht="15" customHeight="1" s="34">
      <c r="A1" s="35" t="inlineStr">
        <is>
          <t>月度保费汇总 / Monthly Premium Summary</t>
        </is>
      </c>
    </row>
    <row r="2" ht="15" customHeight="1" s="34">
      <c r="A2" s="37" t="inlineStr">
        <is>
          <t>指标 / Metric</t>
        </is>
      </c>
      <c r="B2" s="49" t="inlineStr">
        <is>
          <t>Jan</t>
        </is>
      </c>
      <c r="C2" s="49" t="inlineStr">
        <is>
          <t>Feb</t>
        </is>
      </c>
      <c r="D2" s="49" t="inlineStr">
        <is>
          <t>Mar</t>
        </is>
      </c>
      <c r="E2" s="49" t="inlineStr">
        <is>
          <t>Apr</t>
        </is>
      </c>
      <c r="F2" s="49" t="inlineStr">
        <is>
          <t>May</t>
        </is>
      </c>
      <c r="G2" s="49" t="inlineStr">
        <is>
          <t>Jun</t>
        </is>
      </c>
      <c r="H2" s="49" t="inlineStr">
        <is>
          <t>Jul</t>
        </is>
      </c>
      <c r="I2" s="49" t="inlineStr">
        <is>
          <t>Aug</t>
        </is>
      </c>
      <c r="J2" s="49" t="inlineStr">
        <is>
          <t>Sep</t>
        </is>
      </c>
      <c r="K2" s="49" t="inlineStr">
        <is>
          <t>Oct</t>
        </is>
      </c>
      <c r="L2" s="49" t="inlineStr">
        <is>
          <t>Nov</t>
        </is>
      </c>
      <c r="M2" s="49" t="inlineStr">
        <is>
          <t>Dec</t>
        </is>
      </c>
    </row>
    <row r="3" ht="15" customHeight="1" s="34">
      <c r="A3" s="39" t="inlineStr">
        <is>
          <t>总保费(MYR) / Total Premium (MYR)</t>
        </is>
      </c>
      <c r="B3" s="64">
        <f>SUMIFS(销售明细!$L$2:$L$801,销售明细!$B$2:$B$801,B$2)</f>
        <v/>
      </c>
      <c r="C3" s="64">
        <f>SUMIFS(销售明细!$L$2:$L$801,销售明细!$B$2:$B$801,C$2)</f>
        <v/>
      </c>
      <c r="D3" s="64">
        <f>SUMIFS(销售明细!$L$2:$L$801,销售明细!$B$2:$B$801,D$2)</f>
        <v/>
      </c>
      <c r="E3" s="64">
        <f>SUMIFS(销售明细!$L$2:$L$801,销售明细!$B$2:$B$801,E$2)</f>
        <v/>
      </c>
      <c r="F3" s="64">
        <f>SUMIFS(销售明细!$L$2:$L$801,销售明细!$B$2:$B$801,F$2)</f>
        <v/>
      </c>
      <c r="G3" s="64">
        <f>SUMIFS(销售明细!$L$2:$L$801,销售明细!$B$2:$B$801,G$2)</f>
        <v/>
      </c>
      <c r="H3" s="64">
        <f>SUMIFS(销售明细!$L$2:$L$801,销售明细!$B$2:$B$801,H$2)</f>
        <v/>
      </c>
      <c r="I3" s="64">
        <f>SUMIFS(销售明细!$L$2:$L$801,销售明细!$B$2:$B$801,I$2)</f>
        <v/>
      </c>
      <c r="J3" s="64">
        <f>SUMIFS(销售明细!$L$2:$L$801,销售明细!$B$2:$B$801,J$2)</f>
        <v/>
      </c>
      <c r="K3" s="64">
        <f>SUMIFS(销售明细!$L$2:$L$801,销售明细!$B$2:$B$801,K$2)</f>
        <v/>
      </c>
      <c r="L3" s="64">
        <f>SUMIFS(销售明细!$L$2:$L$801,销售明细!$B$2:$B$801,L$2)</f>
        <v/>
      </c>
      <c r="M3" s="64">
        <f>SUMIFS(销售明细!$L$2:$L$801,销售明细!$B$2:$B$801,M$2)</f>
        <v/>
      </c>
    </row>
    <row r="4" ht="15" customHeight="1" s="34">
      <c r="A4" s="41" t="inlineStr">
        <is>
          <t>总单数 / Total Cases</t>
        </is>
      </c>
      <c r="B4" s="60">
        <f>SUMIFS(销售明细!$N$2:$N$801,销售明细!$B$2:$B$801,B$2)</f>
        <v/>
      </c>
      <c r="C4" s="60">
        <f>SUMIFS(销售明细!$N$2:$N$801,销售明细!$B$2:$B$801,C$2)</f>
        <v/>
      </c>
      <c r="D4" s="60">
        <f>SUMIFS(销售明细!$N$2:$N$801,销售明细!$B$2:$B$801,D$2)</f>
        <v/>
      </c>
      <c r="E4" s="60">
        <f>SUMIFS(销售明细!$N$2:$N$801,销售明细!$B$2:$B$801,E$2)</f>
        <v/>
      </c>
      <c r="F4" s="60">
        <f>SUMIFS(销售明细!$N$2:$N$801,销售明细!$B$2:$B$801,F$2)</f>
        <v/>
      </c>
      <c r="G4" s="60">
        <f>SUMIFS(销售明细!$N$2:$N$801,销售明细!$B$2:$B$801,G$2)</f>
        <v/>
      </c>
      <c r="H4" s="60">
        <f>SUMIFS(销售明细!$N$2:$N$801,销售明细!$B$2:$B$801,H$2)</f>
        <v/>
      </c>
      <c r="I4" s="60">
        <f>SUMIFS(销售明细!$N$2:$N$801,销售明细!$B$2:$B$801,I$2)</f>
        <v/>
      </c>
      <c r="J4" s="60">
        <f>SUMIFS(销售明细!$N$2:$N$801,销售明细!$B$2:$B$801,J$2)</f>
        <v/>
      </c>
      <c r="K4" s="60">
        <f>SUMIFS(销售明细!$N$2:$N$801,销售明细!$B$2:$B$801,K$2)</f>
        <v/>
      </c>
      <c r="L4" s="60">
        <f>SUMIFS(销售明细!$N$2:$N$801,销售明细!$B$2:$B$801,L$2)</f>
        <v/>
      </c>
      <c r="M4" s="60">
        <f>SUMIFS(销售明细!$N$2:$N$801,销售明细!$B$2:$B$801,M$2)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2026-06-20T01:58:01Z</dcterms:created>
  <dcterms:modified xmlns:dcterms="http://purl.org/dc/terms/" xmlns:xsi="http://www.w3.org/2001/XMLSchema-instance" xsi:type="dcterms:W3CDTF">2026-06-21T14:09:04Z</dcterms:modified>
  <cp:revision>0</cp:revision>
</cp:coreProperties>
</file>